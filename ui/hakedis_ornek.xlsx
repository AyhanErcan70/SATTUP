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0" documentId="13_ncr:1_{BA80FD39-FF25-439E-9414-39B2DB3EE2BD}" xr6:coauthVersionLast="47" xr6:coauthVersionMax="47" xr10:uidLastSave="{00000000-0000-0000-0000-000000000000}"/>
  <bookViews>
    <workbookView xWindow="-108" yWindow="-108" windowWidth="23256" windowHeight="12456" tabRatio="922" xr2:uid="{00000000-000D-0000-FFFF-FFFF00000000}"/>
  </bookViews>
  <sheets>
    <sheet name="YÜKLENİCİ ARAÇLARI" sheetId="17" r:id="rId1"/>
    <sheet name="ŞİRKET ARAÇ" sheetId="3" r:id="rId2"/>
    <sheet name="DAĞILIM" sheetId="14" r:id="rId3"/>
    <sheet name="ÖDEME  TOPLAM" sheetId="9" r:id="rId4"/>
    <sheet name="FATURALANDIRMA" sheetId="2" r:id="rId5"/>
    <sheet name="TOPLAM GELİR VE GİDERLER" sheetId="8" r:id="rId6"/>
  </sheets>
  <externalReferences>
    <externalReference r:id="rId7"/>
    <externalReference r:id="rId8"/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9" l="1"/>
  <c r="E18" i="9"/>
  <c r="E63" i="9"/>
  <c r="C72" i="9"/>
  <c r="C71" i="9"/>
  <c r="C70" i="9"/>
  <c r="D142" i="2"/>
  <c r="E142" i="2"/>
  <c r="D140" i="2"/>
  <c r="E140" i="2"/>
  <c r="D141" i="2"/>
  <c r="E141" i="2"/>
  <c r="C141" i="2"/>
  <c r="D143" i="2"/>
  <c r="E143" i="2"/>
  <c r="C143" i="2"/>
  <c r="B143" i="2"/>
  <c r="H35" i="8"/>
  <c r="H36" i="8"/>
  <c r="H50" i="8"/>
  <c r="H37" i="8"/>
  <c r="H47" i="8"/>
  <c r="H58" i="8"/>
  <c r="H46" i="8"/>
  <c r="H55" i="8"/>
  <c r="H48" i="8"/>
  <c r="H45" i="8"/>
  <c r="H54" i="8" l="1"/>
  <c r="H52" i="8"/>
  <c r="H51" i="8"/>
  <c r="G43" i="8" l="1"/>
  <c r="I43" i="8"/>
  <c r="C43" i="8"/>
  <c r="B43" i="8"/>
  <c r="F4" i="8"/>
  <c r="G82" i="3"/>
  <c r="H82" i="3"/>
  <c r="I82" i="3"/>
  <c r="J82" i="3"/>
  <c r="K82" i="3" s="1"/>
  <c r="L13" i="8" l="1"/>
  <c r="A41" i="8"/>
  <c r="B27" i="8" l="1"/>
  <c r="A10" i="8" l="1"/>
  <c r="D369" i="2" l="1"/>
  <c r="E369" i="2"/>
  <c r="D368" i="2"/>
  <c r="E368" i="2"/>
  <c r="D367" i="2"/>
  <c r="E367" i="2"/>
  <c r="C368" i="2"/>
  <c r="B338" i="2"/>
  <c r="D256" i="2"/>
  <c r="E256" i="2"/>
  <c r="C256" i="2"/>
  <c r="B256" i="2"/>
  <c r="B198" i="2"/>
  <c r="D25" i="9" l="1"/>
  <c r="C58" i="9" l="1"/>
  <c r="C19" i="9" l="1"/>
  <c r="C20" i="9" l="1"/>
  <c r="C63" i="9"/>
  <c r="C18" i="9"/>
  <c r="B102" i="14" l="1"/>
  <c r="C102" i="14"/>
  <c r="D102" i="14"/>
  <c r="E102" i="14"/>
  <c r="F102" i="14"/>
  <c r="G102" i="14"/>
  <c r="H102" i="14"/>
  <c r="I102" i="14"/>
  <c r="J102" i="14"/>
  <c r="K102" i="14"/>
  <c r="L102" i="14"/>
  <c r="A102" i="14"/>
  <c r="L237" i="17"/>
  <c r="K237" i="17"/>
  <c r="J237" i="17"/>
  <c r="I237" i="17"/>
  <c r="H237" i="17"/>
  <c r="B97" i="14" l="1"/>
  <c r="C97" i="14"/>
  <c r="D97" i="14"/>
  <c r="E97" i="14"/>
  <c r="F97" i="14"/>
  <c r="G97" i="14"/>
  <c r="A97" i="14"/>
  <c r="H51" i="17"/>
  <c r="I51" i="17" s="1"/>
  <c r="J51" i="17" s="1"/>
  <c r="K51" i="17" l="1"/>
  <c r="L51" i="17"/>
  <c r="F182" i="14" l="1"/>
  <c r="G182" i="14"/>
  <c r="F10" i="14"/>
  <c r="G10" i="14"/>
  <c r="B101" i="14" l="1"/>
  <c r="C101" i="14"/>
  <c r="D101" i="14"/>
  <c r="E101" i="14"/>
  <c r="F101" i="14"/>
  <c r="G101" i="14"/>
  <c r="A101" i="14"/>
  <c r="H317" i="17"/>
  <c r="H320" i="17" s="1"/>
  <c r="H318" i="17"/>
  <c r="H319" i="17"/>
  <c r="I319" i="17" s="1"/>
  <c r="I101" i="14" s="1"/>
  <c r="K319" i="17"/>
  <c r="K101" i="14" s="1"/>
  <c r="H101" i="14" l="1"/>
  <c r="K320" i="17"/>
  <c r="J319" i="17"/>
  <c r="J101" i="14" s="1"/>
  <c r="L319" i="17"/>
  <c r="L101" i="14" s="1"/>
  <c r="A478" i="14"/>
  <c r="F443" i="14"/>
  <c r="G443" i="14"/>
  <c r="G342" i="14" l="1"/>
  <c r="F342" i="14"/>
  <c r="F283" i="14"/>
  <c r="D188" i="2"/>
  <c r="C188" i="2"/>
  <c r="I64" i="2"/>
  <c r="H64" i="2"/>
  <c r="J63" i="2"/>
  <c r="I70" i="2"/>
  <c r="D95" i="2" s="1"/>
  <c r="H70" i="2"/>
  <c r="C95" i="2" s="1"/>
  <c r="J69" i="2"/>
  <c r="H76" i="2"/>
  <c r="I75" i="2"/>
  <c r="J75" i="2" s="1"/>
  <c r="I74" i="2"/>
  <c r="J74" i="2" s="1"/>
  <c r="J68" i="2"/>
  <c r="J62" i="2"/>
  <c r="J61" i="2"/>
  <c r="I73" i="2"/>
  <c r="J73" i="2" s="1"/>
  <c r="J67" i="2"/>
  <c r="I72" i="2"/>
  <c r="J72" i="2"/>
  <c r="J66" i="2"/>
  <c r="J60" i="2"/>
  <c r="J64" i="2" s="1"/>
  <c r="D364" i="2"/>
  <c r="C364" i="2"/>
  <c r="B367" i="2"/>
  <c r="C223" i="2"/>
  <c r="B231" i="2"/>
  <c r="B17" i="14"/>
  <c r="C17" i="14"/>
  <c r="D17" i="14"/>
  <c r="E17" i="14"/>
  <c r="F17" i="14"/>
  <c r="G17" i="14"/>
  <c r="A17" i="14"/>
  <c r="H222" i="17"/>
  <c r="I222" i="17" s="1"/>
  <c r="D231" i="2" s="1"/>
  <c r="D328" i="2"/>
  <c r="C328" i="2"/>
  <c r="B6" i="8"/>
  <c r="B317" i="2"/>
  <c r="D301" i="2"/>
  <c r="C301" i="2"/>
  <c r="F299" i="14"/>
  <c r="G299" i="14"/>
  <c r="E299" i="14"/>
  <c r="C299" i="14"/>
  <c r="B299" i="14"/>
  <c r="A299" i="14"/>
  <c r="D157" i="2"/>
  <c r="C157" i="2"/>
  <c r="D118" i="2"/>
  <c r="C118" i="2"/>
  <c r="D246" i="2"/>
  <c r="C246" i="2"/>
  <c r="G131" i="3"/>
  <c r="J131" i="3" s="1"/>
  <c r="H131" i="3"/>
  <c r="I131" i="3"/>
  <c r="G130" i="3"/>
  <c r="H130" i="3" s="1"/>
  <c r="I76" i="2" l="1"/>
  <c r="J76" i="2"/>
  <c r="J70" i="2"/>
  <c r="I17" i="14"/>
  <c r="H17" i="14"/>
  <c r="C231" i="2"/>
  <c r="K222" i="17"/>
  <c r="J222" i="17"/>
  <c r="K131" i="3"/>
  <c r="J130" i="3"/>
  <c r="K130" i="3" s="1"/>
  <c r="I130" i="3"/>
  <c r="J17" i="14" l="1"/>
  <c r="E231" i="2"/>
  <c r="L222" i="17"/>
  <c r="L17" i="14" s="1"/>
  <c r="K17" i="14"/>
  <c r="C283" i="2" l="1"/>
  <c r="D2" i="2"/>
  <c r="C2" i="2"/>
  <c r="H49" i="17"/>
  <c r="H97" i="14" s="1"/>
  <c r="I49" i="17" l="1"/>
  <c r="I97" i="14" s="1"/>
  <c r="K49" i="17"/>
  <c r="K97" i="14" s="1"/>
  <c r="L49" i="17" l="1"/>
  <c r="L97" i="14" s="1"/>
  <c r="J49" i="17"/>
  <c r="J97" i="14" s="1"/>
  <c r="H117" i="17"/>
  <c r="G309" i="14"/>
  <c r="F309" i="14"/>
  <c r="A309" i="14"/>
  <c r="C309" i="14"/>
  <c r="D309" i="14"/>
  <c r="H124" i="17"/>
  <c r="I124" i="17" s="1"/>
  <c r="I309" i="14" s="1"/>
  <c r="A425" i="14"/>
  <c r="B425" i="14"/>
  <c r="C425" i="14"/>
  <c r="D425" i="14"/>
  <c r="E425" i="14"/>
  <c r="F425" i="14"/>
  <c r="G425" i="14"/>
  <c r="K117" i="17" l="1"/>
  <c r="K299" i="14" s="1"/>
  <c r="H299" i="14"/>
  <c r="I117" i="17"/>
  <c r="H309" i="14"/>
  <c r="K124" i="17"/>
  <c r="K309" i="14" s="1"/>
  <c r="J124" i="17"/>
  <c r="J309" i="14" s="1"/>
  <c r="J117" i="17" l="1"/>
  <c r="J299" i="14" s="1"/>
  <c r="I299" i="14"/>
  <c r="L124" i="17"/>
  <c r="L309" i="14" s="1"/>
  <c r="L117" i="17"/>
  <c r="L299" i="14" s="1"/>
  <c r="A308" i="14"/>
  <c r="B308" i="14"/>
  <c r="C308" i="14"/>
  <c r="D308" i="14"/>
  <c r="E308" i="14"/>
  <c r="F308" i="14"/>
  <c r="G308" i="14"/>
  <c r="H98" i="2" l="1"/>
  <c r="I97" i="2"/>
  <c r="I96" i="2"/>
  <c r="I95" i="2"/>
  <c r="I98" i="2" l="1"/>
  <c r="J98" i="2" s="1"/>
  <c r="J99" i="2" s="1"/>
  <c r="J100" i="2"/>
  <c r="H400" i="2"/>
  <c r="G9" i="17"/>
  <c r="J101" i="2" l="1"/>
  <c r="A436" i="14"/>
  <c r="B436" i="14"/>
  <c r="C436" i="14"/>
  <c r="D436" i="14"/>
  <c r="E436" i="14"/>
  <c r="F436" i="14"/>
  <c r="G436" i="14"/>
  <c r="H279" i="17"/>
  <c r="K279" i="17" s="1"/>
  <c r="K436" i="14" s="1"/>
  <c r="H436" i="14" l="1"/>
  <c r="I279" i="17"/>
  <c r="L279" i="17" s="1"/>
  <c r="L436" i="14" s="1"/>
  <c r="I436" i="14" l="1"/>
  <c r="J279" i="17"/>
  <c r="J436" i="14" s="1"/>
  <c r="H127" i="17"/>
  <c r="H106" i="17"/>
  <c r="G307" i="14"/>
  <c r="G306" i="14"/>
  <c r="F307" i="14"/>
  <c r="F306" i="14"/>
  <c r="A307" i="14"/>
  <c r="B307" i="14"/>
  <c r="C307" i="14"/>
  <c r="D307" i="14"/>
  <c r="E307" i="14"/>
  <c r="H126" i="17"/>
  <c r="H307" i="14" s="1"/>
  <c r="F428" i="14"/>
  <c r="G428" i="14"/>
  <c r="C428" i="14"/>
  <c r="B428" i="14"/>
  <c r="A428" i="14"/>
  <c r="E428" i="14"/>
  <c r="H109" i="17"/>
  <c r="I109" i="17" s="1"/>
  <c r="J109" i="17" s="1"/>
  <c r="J428" i="14" s="1"/>
  <c r="D430" i="14"/>
  <c r="E430" i="14"/>
  <c r="F430" i="14"/>
  <c r="G430" i="14"/>
  <c r="D429" i="14"/>
  <c r="E429" i="14"/>
  <c r="F429" i="14"/>
  <c r="G429" i="14"/>
  <c r="C429" i="14"/>
  <c r="C430" i="14"/>
  <c r="A429" i="14"/>
  <c r="A430" i="14"/>
  <c r="B429" i="14"/>
  <c r="B430" i="14"/>
  <c r="H110" i="17"/>
  <c r="I110" i="17" s="1"/>
  <c r="I429" i="14" s="1"/>
  <c r="H111" i="17"/>
  <c r="H430" i="14" s="1"/>
  <c r="F427" i="14"/>
  <c r="G427" i="14"/>
  <c r="E427" i="14"/>
  <c r="C427" i="14"/>
  <c r="B427" i="14"/>
  <c r="A427" i="14"/>
  <c r="H108" i="17"/>
  <c r="H427" i="14" s="1"/>
  <c r="I106" i="17" l="1"/>
  <c r="I425" i="14" s="1"/>
  <c r="H425" i="14"/>
  <c r="I127" i="17"/>
  <c r="I308" i="14" s="1"/>
  <c r="H308" i="14"/>
  <c r="K127" i="17"/>
  <c r="K308" i="14" s="1"/>
  <c r="K106" i="17"/>
  <c r="I126" i="17"/>
  <c r="K126" i="17"/>
  <c r="K307" i="14" s="1"/>
  <c r="I428" i="14"/>
  <c r="H429" i="14"/>
  <c r="H428" i="14"/>
  <c r="K109" i="17"/>
  <c r="K110" i="17"/>
  <c r="K429" i="14" s="1"/>
  <c r="K108" i="17"/>
  <c r="K427" i="14" s="1"/>
  <c r="J110" i="17"/>
  <c r="J429" i="14" s="1"/>
  <c r="I111" i="17"/>
  <c r="K111" i="17"/>
  <c r="I108" i="17"/>
  <c r="J127" i="17" l="1"/>
  <c r="J308" i="14" s="1"/>
  <c r="J106" i="17"/>
  <c r="J425" i="14" s="1"/>
  <c r="L127" i="17"/>
  <c r="L308" i="14" s="1"/>
  <c r="L106" i="17"/>
  <c r="L425" i="14" s="1"/>
  <c r="K425" i="14"/>
  <c r="L110" i="17"/>
  <c r="L429" i="14" s="1"/>
  <c r="L126" i="17"/>
  <c r="L307" i="14" s="1"/>
  <c r="I307" i="14"/>
  <c r="J126" i="17"/>
  <c r="J307" i="14" s="1"/>
  <c r="L109" i="17"/>
  <c r="L428" i="14" s="1"/>
  <c r="K428" i="14"/>
  <c r="L108" i="17"/>
  <c r="L427" i="14" s="1"/>
  <c r="L111" i="17"/>
  <c r="L430" i="14" s="1"/>
  <c r="K430" i="14"/>
  <c r="J111" i="17"/>
  <c r="J430" i="14" s="1"/>
  <c r="I430" i="14"/>
  <c r="I427" i="14"/>
  <c r="J108" i="17"/>
  <c r="J427" i="14" s="1"/>
  <c r="B266" i="2" l="1"/>
  <c r="G129" i="3"/>
  <c r="H129" i="3" l="1"/>
  <c r="I129" i="3" s="1"/>
  <c r="C266" i="2"/>
  <c r="C2" i="8"/>
  <c r="J129" i="3"/>
  <c r="D266" i="2" s="1"/>
  <c r="D283" i="2"/>
  <c r="H301" i="17"/>
  <c r="C338" i="2" s="1"/>
  <c r="E266" i="2" l="1"/>
  <c r="K129" i="3"/>
  <c r="K301" i="17"/>
  <c r="I301" i="17"/>
  <c r="J301" i="17" l="1"/>
  <c r="E338" i="2" s="1"/>
  <c r="D338" i="2"/>
  <c r="L301" i="17"/>
  <c r="A39" i="8"/>
  <c r="A58" i="8"/>
  <c r="B267" i="2"/>
  <c r="B209" i="2"/>
  <c r="B44" i="2"/>
  <c r="B103" i="14" l="1"/>
  <c r="C103" i="14"/>
  <c r="D103" i="14"/>
  <c r="E103" i="14"/>
  <c r="F103" i="14"/>
  <c r="G103" i="14"/>
  <c r="H103" i="14"/>
  <c r="I103" i="14"/>
  <c r="J103" i="14"/>
  <c r="K103" i="14"/>
  <c r="L103" i="14"/>
  <c r="A103" i="14"/>
  <c r="A423" i="14"/>
  <c r="B423" i="14"/>
  <c r="C423" i="14"/>
  <c r="E423" i="14"/>
  <c r="F423" i="14"/>
  <c r="G423" i="14"/>
  <c r="H81" i="17"/>
  <c r="I81" i="17" s="1"/>
  <c r="I423" i="14" s="1"/>
  <c r="H423" i="14" l="1"/>
  <c r="K81" i="17"/>
  <c r="J81" i="17"/>
  <c r="J423" i="14" s="1"/>
  <c r="L81" i="17" l="1"/>
  <c r="L423" i="14" s="1"/>
  <c r="K423" i="14"/>
  <c r="B431" i="14" l="1"/>
  <c r="C431" i="14"/>
  <c r="D431" i="14"/>
  <c r="E431" i="14"/>
  <c r="F431" i="14"/>
  <c r="G431" i="14"/>
  <c r="A431" i="14"/>
  <c r="B126" i="14"/>
  <c r="C126" i="14"/>
  <c r="D126" i="14"/>
  <c r="E126" i="14"/>
  <c r="F126" i="14"/>
  <c r="G126" i="14"/>
  <c r="A126" i="14"/>
  <c r="A125" i="14"/>
  <c r="H170" i="17"/>
  <c r="K170" i="17" s="1"/>
  <c r="K431" i="14" s="1"/>
  <c r="H169" i="17"/>
  <c r="K169" i="17" l="1"/>
  <c r="K126" i="14" s="1"/>
  <c r="C198" i="2"/>
  <c r="I169" i="17"/>
  <c r="I170" i="17"/>
  <c r="L170" i="17" s="1"/>
  <c r="L431" i="14" s="1"/>
  <c r="H431" i="14"/>
  <c r="H126" i="14"/>
  <c r="I126" i="14" l="1"/>
  <c r="D198" i="2"/>
  <c r="L169" i="17"/>
  <c r="L126" i="14" s="1"/>
  <c r="J169" i="17"/>
  <c r="J170" i="17"/>
  <c r="J431" i="14" s="1"/>
  <c r="I431" i="14"/>
  <c r="G468" i="14"/>
  <c r="B311" i="14"/>
  <c r="C311" i="14"/>
  <c r="D311" i="14"/>
  <c r="E311" i="14"/>
  <c r="F311" i="14"/>
  <c r="G311" i="14"/>
  <c r="H129" i="17"/>
  <c r="H311" i="14" s="1"/>
  <c r="F310" i="14"/>
  <c r="A310" i="14"/>
  <c r="B310" i="14"/>
  <c r="C310" i="14"/>
  <c r="D310" i="14"/>
  <c r="E310" i="14"/>
  <c r="G310" i="14"/>
  <c r="H128" i="17"/>
  <c r="K128" i="17" s="1"/>
  <c r="K310" i="14" s="1"/>
  <c r="F304" i="14"/>
  <c r="J126" i="14" l="1"/>
  <c r="E198" i="2"/>
  <c r="I128" i="17"/>
  <c r="I310" i="14" s="1"/>
  <c r="I129" i="17"/>
  <c r="I311" i="14" s="1"/>
  <c r="K129" i="17"/>
  <c r="K311" i="14" s="1"/>
  <c r="H310" i="14"/>
  <c r="J128" i="17" l="1"/>
  <c r="J310" i="14" s="1"/>
  <c r="L128" i="17"/>
  <c r="L310" i="14" s="1"/>
  <c r="L129" i="17"/>
  <c r="L311" i="14" s="1"/>
  <c r="J129" i="17"/>
  <c r="J311" i="14" s="1"/>
  <c r="C74" i="14" l="1"/>
  <c r="D74" i="14"/>
  <c r="E74" i="14"/>
  <c r="F74" i="14"/>
  <c r="G74" i="14"/>
  <c r="B74" i="14"/>
  <c r="H247" i="17"/>
  <c r="H74" i="14" s="1"/>
  <c r="I247" i="17" l="1"/>
  <c r="I74" i="14" s="1"/>
  <c r="K247" i="17"/>
  <c r="K74" i="14" s="1"/>
  <c r="J247" i="17" l="1"/>
  <c r="J74" i="14" s="1"/>
  <c r="L247" i="17"/>
  <c r="L74" i="14" s="1"/>
  <c r="C407" i="14"/>
  <c r="D407" i="14"/>
  <c r="E407" i="14"/>
  <c r="F407" i="14"/>
  <c r="G407" i="14"/>
  <c r="B407" i="14"/>
  <c r="A407" i="14"/>
  <c r="H307" i="17"/>
  <c r="H308" i="17"/>
  <c r="H305" i="17"/>
  <c r="H306" i="17"/>
  <c r="H309" i="17"/>
  <c r="H310" i="17"/>
  <c r="H311" i="17"/>
  <c r="H312" i="17"/>
  <c r="H407" i="14"/>
  <c r="C367" i="2" l="1"/>
  <c r="H314" i="17"/>
  <c r="I407" i="14"/>
  <c r="J407" i="14" l="1"/>
  <c r="L407" i="14"/>
  <c r="K407" i="14"/>
  <c r="D223" i="2"/>
  <c r="B201" i="14"/>
  <c r="A192" i="14"/>
  <c r="G168" i="14"/>
  <c r="F168" i="14"/>
  <c r="A187" i="14"/>
  <c r="B187" i="14"/>
  <c r="C187" i="14"/>
  <c r="D187" i="14"/>
  <c r="E187" i="14"/>
  <c r="F187" i="14"/>
  <c r="G187" i="14"/>
  <c r="G132" i="3"/>
  <c r="H132" i="3" s="1"/>
  <c r="A62" i="14"/>
  <c r="B62" i="14"/>
  <c r="C62" i="14"/>
  <c r="D62" i="14"/>
  <c r="E62" i="14"/>
  <c r="F62" i="14"/>
  <c r="G62" i="14"/>
  <c r="F63" i="14"/>
  <c r="A57" i="14"/>
  <c r="B57" i="14"/>
  <c r="C57" i="14"/>
  <c r="D57" i="14"/>
  <c r="E57" i="14"/>
  <c r="F57" i="14"/>
  <c r="G57" i="14"/>
  <c r="A58" i="14"/>
  <c r="B58" i="14"/>
  <c r="C58" i="14"/>
  <c r="D58" i="14"/>
  <c r="E58" i="14"/>
  <c r="F58" i="14"/>
  <c r="G58" i="14"/>
  <c r="A59" i="14"/>
  <c r="B59" i="14"/>
  <c r="C59" i="14"/>
  <c r="D59" i="14"/>
  <c r="E59" i="14"/>
  <c r="F59" i="14"/>
  <c r="G59" i="14"/>
  <c r="A60" i="14"/>
  <c r="B60" i="14"/>
  <c r="C60" i="14"/>
  <c r="D60" i="14"/>
  <c r="E60" i="14"/>
  <c r="F60" i="14"/>
  <c r="G60" i="14"/>
  <c r="A61" i="14"/>
  <c r="B61" i="14"/>
  <c r="C61" i="14"/>
  <c r="D61" i="14"/>
  <c r="E61" i="14"/>
  <c r="F61" i="14"/>
  <c r="G61" i="14"/>
  <c r="H228" i="17"/>
  <c r="H58" i="14" s="1"/>
  <c r="J132" i="3" l="1"/>
  <c r="K132" i="3" s="1"/>
  <c r="I132" i="3"/>
  <c r="K228" i="17"/>
  <c r="K58" i="14" s="1"/>
  <c r="I228" i="17"/>
  <c r="I58" i="14" s="1"/>
  <c r="L228" i="17" l="1"/>
  <c r="L58" i="14" s="1"/>
  <c r="J228" i="17"/>
  <c r="J58" i="14" s="1"/>
  <c r="I68" i="8"/>
  <c r="A263" i="14"/>
  <c r="B263" i="14"/>
  <c r="C263" i="14"/>
  <c r="D263" i="14"/>
  <c r="E263" i="14"/>
  <c r="F263" i="14"/>
  <c r="G263" i="14"/>
  <c r="A264" i="14"/>
  <c r="B264" i="14"/>
  <c r="C264" i="14"/>
  <c r="D264" i="14"/>
  <c r="E264" i="14"/>
  <c r="F264" i="14"/>
  <c r="G264" i="14"/>
  <c r="H257" i="17"/>
  <c r="H264" i="14" s="1"/>
  <c r="H256" i="17"/>
  <c r="H263" i="14" s="1"/>
  <c r="I256" i="17" l="1"/>
  <c r="K256" i="17"/>
  <c r="K263" i="14" s="1"/>
  <c r="I257" i="17"/>
  <c r="I264" i="14" s="1"/>
  <c r="K257" i="17"/>
  <c r="K264" i="14" s="1"/>
  <c r="F160" i="14"/>
  <c r="F159" i="14"/>
  <c r="G159" i="14"/>
  <c r="A155" i="14"/>
  <c r="B155" i="14"/>
  <c r="C155" i="14"/>
  <c r="D155" i="14"/>
  <c r="E155" i="14"/>
  <c r="F155" i="14"/>
  <c r="G155" i="14"/>
  <c r="D160" i="14"/>
  <c r="E160" i="14"/>
  <c r="G160" i="14"/>
  <c r="C160" i="14"/>
  <c r="B160" i="14"/>
  <c r="M69" i="9"/>
  <c r="F327" i="14"/>
  <c r="J257" i="17" l="1"/>
  <c r="J264" i="14" s="1"/>
  <c r="L256" i="17"/>
  <c r="L263" i="14" s="1"/>
  <c r="J256" i="17"/>
  <c r="J263" i="14" s="1"/>
  <c r="I263" i="14"/>
  <c r="L257" i="17"/>
  <c r="L264" i="14" s="1"/>
  <c r="H246" i="17" l="1"/>
  <c r="H242" i="17"/>
  <c r="H231" i="17"/>
  <c r="I246" i="17" l="1"/>
  <c r="I187" i="14" s="1"/>
  <c r="H187" i="14"/>
  <c r="I231" i="17"/>
  <c r="I61" i="14" s="1"/>
  <c r="H61" i="14"/>
  <c r="K246" i="17"/>
  <c r="I242" i="17"/>
  <c r="J242" i="17" s="1"/>
  <c r="K242" i="17"/>
  <c r="K231" i="17"/>
  <c r="K61" i="14" s="1"/>
  <c r="H229" i="17"/>
  <c r="J246" i="17" l="1"/>
  <c r="J187" i="14" s="1"/>
  <c r="J231" i="17"/>
  <c r="J61" i="14" s="1"/>
  <c r="L231" i="17"/>
  <c r="L61" i="14" s="1"/>
  <c r="L246" i="17"/>
  <c r="L187" i="14" s="1"/>
  <c r="K187" i="14"/>
  <c r="I229" i="17"/>
  <c r="I59" i="14" s="1"/>
  <c r="H59" i="14"/>
  <c r="L242" i="17"/>
  <c r="K229" i="17"/>
  <c r="J229" i="17" l="1"/>
  <c r="J59" i="14" s="1"/>
  <c r="L229" i="17"/>
  <c r="L59" i="14" s="1"/>
  <c r="K59" i="14"/>
  <c r="H210" i="17"/>
  <c r="F426" i="14"/>
  <c r="F395" i="14"/>
  <c r="G395" i="14"/>
  <c r="C395" i="14"/>
  <c r="D395" i="14"/>
  <c r="E395" i="14"/>
  <c r="B395" i="14"/>
  <c r="A395" i="14"/>
  <c r="H50" i="17"/>
  <c r="H395" i="14" s="1"/>
  <c r="K210" i="17" l="1"/>
  <c r="K155" i="14" s="1"/>
  <c r="I210" i="17"/>
  <c r="I155" i="14" s="1"/>
  <c r="H155" i="14"/>
  <c r="I50" i="17"/>
  <c r="I395" i="14" s="1"/>
  <c r="K50" i="17"/>
  <c r="K395" i="14" s="1"/>
  <c r="L210" i="17" l="1"/>
  <c r="L155" i="14" s="1"/>
  <c r="J50" i="17"/>
  <c r="J395" i="14" s="1"/>
  <c r="J210" i="17"/>
  <c r="J155" i="14" s="1"/>
  <c r="L50" i="17"/>
  <c r="L395" i="14" s="1"/>
  <c r="A306" i="14" l="1"/>
  <c r="B306" i="14"/>
  <c r="C306" i="14"/>
  <c r="D306" i="14"/>
  <c r="E306" i="14"/>
  <c r="A106" i="14"/>
  <c r="B106" i="14"/>
  <c r="C106" i="14"/>
  <c r="D106" i="14"/>
  <c r="E106" i="14"/>
  <c r="F106" i="14"/>
  <c r="G106" i="14"/>
  <c r="H140" i="17"/>
  <c r="H106" i="14" s="1"/>
  <c r="F91" i="14"/>
  <c r="K140" i="17" l="1"/>
  <c r="K106" i="14" s="1"/>
  <c r="I140" i="17"/>
  <c r="I106" i="14" l="1"/>
  <c r="J140" i="17"/>
  <c r="J106" i="14" s="1"/>
  <c r="L140" i="17"/>
  <c r="L106" i="14" s="1"/>
  <c r="A52" i="8"/>
  <c r="G59" i="3" l="1"/>
  <c r="H59" i="3" s="1"/>
  <c r="I59" i="3" s="1"/>
  <c r="B339" i="2"/>
  <c r="B337" i="2"/>
  <c r="B336" i="2"/>
  <c r="B335" i="2"/>
  <c r="B334" i="2"/>
  <c r="B333" i="2"/>
  <c r="B332" i="2"/>
  <c r="B331" i="2"/>
  <c r="J59" i="3" l="1"/>
  <c r="K59" i="3" s="1"/>
  <c r="B308" i="2"/>
  <c r="B307" i="2"/>
  <c r="B306" i="2"/>
  <c r="B305" i="2"/>
  <c r="B304" i="2"/>
  <c r="B287" i="2" l="1"/>
  <c r="B286" i="2"/>
  <c r="B255" i="2"/>
  <c r="B254" i="2"/>
  <c r="B253" i="2"/>
  <c r="B252" i="2"/>
  <c r="B251" i="2"/>
  <c r="B250" i="2"/>
  <c r="B249" i="2"/>
  <c r="B230" i="2"/>
  <c r="B229" i="2"/>
  <c r="B228" i="2"/>
  <c r="B227" i="2"/>
  <c r="B226" i="2"/>
  <c r="B197" i="2"/>
  <c r="B196" i="2"/>
  <c r="B195" i="2"/>
  <c r="B194" i="2"/>
  <c r="B193" i="2"/>
  <c r="B192" i="2"/>
  <c r="B191" i="2"/>
  <c r="B169" i="2"/>
  <c r="B168" i="2"/>
  <c r="B167" i="2"/>
  <c r="B166" i="2"/>
  <c r="B165" i="2"/>
  <c r="B164" i="2"/>
  <c r="B163" i="2"/>
  <c r="B162" i="2"/>
  <c r="B161" i="2"/>
  <c r="B160" i="2"/>
  <c r="B128" i="2" l="1"/>
  <c r="B127" i="2"/>
  <c r="B126" i="2"/>
  <c r="B125" i="2"/>
  <c r="B124" i="2"/>
  <c r="B123" i="2"/>
  <c r="B122" i="2"/>
  <c r="B121" i="2"/>
  <c r="B98" i="2"/>
  <c r="B97" i="2"/>
  <c r="B63" i="2"/>
  <c r="B62" i="2"/>
  <c r="B61" i="2"/>
  <c r="B60" i="2"/>
  <c r="D23" i="2"/>
  <c r="D13" i="2"/>
  <c r="D10" i="2"/>
  <c r="B9" i="2"/>
  <c r="H217" i="17"/>
  <c r="K419" i="14"/>
  <c r="G419" i="14"/>
  <c r="F419" i="14"/>
  <c r="E419" i="14"/>
  <c r="C419" i="14"/>
  <c r="B419" i="14"/>
  <c r="A419" i="14"/>
  <c r="H25" i="14" l="1"/>
  <c r="C229" i="2"/>
  <c r="H4" i="17"/>
  <c r="H419" i="14" s="1"/>
  <c r="F434" i="14"/>
  <c r="G434" i="14"/>
  <c r="E434" i="14"/>
  <c r="C434" i="14"/>
  <c r="B434" i="14"/>
  <c r="A434" i="14"/>
  <c r="H277" i="17"/>
  <c r="I277" i="17" s="1"/>
  <c r="I434" i="14" s="1"/>
  <c r="A159" i="14"/>
  <c r="B159" i="14"/>
  <c r="C159" i="14"/>
  <c r="D159" i="14"/>
  <c r="E159" i="14"/>
  <c r="H215" i="17"/>
  <c r="H159" i="14" s="1"/>
  <c r="K215" i="17" l="1"/>
  <c r="K159" i="14" s="1"/>
  <c r="I215" i="17"/>
  <c r="J215" i="17" s="1"/>
  <c r="J159" i="14" s="1"/>
  <c r="K277" i="17"/>
  <c r="K434" i="14" s="1"/>
  <c r="I4" i="17"/>
  <c r="I419" i="14" s="1"/>
  <c r="H434" i="14"/>
  <c r="J277" i="17"/>
  <c r="J434" i="14" s="1"/>
  <c r="B369" i="2"/>
  <c r="B368" i="2"/>
  <c r="L215" i="17" l="1"/>
  <c r="L159" i="14" s="1"/>
  <c r="I159" i="14"/>
  <c r="L277" i="17"/>
  <c r="L434" i="14" s="1"/>
  <c r="L4" i="17"/>
  <c r="L419" i="14" s="1"/>
  <c r="J4" i="17"/>
  <c r="J419" i="14" s="1"/>
  <c r="H70" i="17" l="1"/>
  <c r="H71" i="17"/>
  <c r="H72" i="17"/>
  <c r="H73" i="17"/>
  <c r="H74" i="17"/>
  <c r="H75" i="17"/>
  <c r="C98" i="2" s="1"/>
  <c r="G239" i="14"/>
  <c r="A482" i="14"/>
  <c r="B482" i="14"/>
  <c r="C482" i="14"/>
  <c r="E482" i="14"/>
  <c r="F482" i="14"/>
  <c r="G482" i="14"/>
  <c r="K482" i="14"/>
  <c r="C97" i="2" l="1"/>
  <c r="H76" i="17"/>
  <c r="B204" i="14"/>
  <c r="C204" i="14"/>
  <c r="D204" i="14"/>
  <c r="E204" i="14"/>
  <c r="F204" i="14"/>
  <c r="G204" i="14"/>
  <c r="A204" i="14"/>
  <c r="H482" i="14" l="1"/>
  <c r="I74" i="17"/>
  <c r="H99" i="17"/>
  <c r="K99" i="17" s="1"/>
  <c r="H294" i="17"/>
  <c r="A14" i="14"/>
  <c r="A15" i="14"/>
  <c r="A16" i="14"/>
  <c r="B16" i="14"/>
  <c r="C14" i="14"/>
  <c r="D14" i="14"/>
  <c r="E14" i="14"/>
  <c r="F14" i="14"/>
  <c r="G14" i="14"/>
  <c r="C15" i="14"/>
  <c r="D15" i="14"/>
  <c r="E15" i="14"/>
  <c r="F15" i="14"/>
  <c r="G15" i="14"/>
  <c r="C16" i="14"/>
  <c r="D16" i="14"/>
  <c r="E16" i="14"/>
  <c r="F16" i="14"/>
  <c r="G16" i="14"/>
  <c r="D13" i="14"/>
  <c r="E13" i="14"/>
  <c r="F13" i="14"/>
  <c r="G13" i="14"/>
  <c r="C13" i="14"/>
  <c r="B13" i="14"/>
  <c r="B14" i="14"/>
  <c r="B15" i="14"/>
  <c r="A13" i="14"/>
  <c r="H293" i="17"/>
  <c r="H16" i="14" s="1"/>
  <c r="I293" i="17" l="1"/>
  <c r="J293" i="17" s="1"/>
  <c r="J16" i="14" s="1"/>
  <c r="I99" i="17"/>
  <c r="I482" i="14"/>
  <c r="L74" i="17"/>
  <c r="L482" i="14" s="1"/>
  <c r="J74" i="17"/>
  <c r="J482" i="14" s="1"/>
  <c r="K293" i="17"/>
  <c r="B25" i="14"/>
  <c r="C25" i="14"/>
  <c r="D25" i="14"/>
  <c r="E25" i="14"/>
  <c r="F25" i="14"/>
  <c r="G25" i="14"/>
  <c r="A25" i="14"/>
  <c r="G275" i="14"/>
  <c r="L99" i="17" l="1"/>
  <c r="J99" i="17"/>
  <c r="I16" i="14"/>
  <c r="L293" i="17"/>
  <c r="L16" i="14" s="1"/>
  <c r="K16" i="14"/>
  <c r="C286" i="2"/>
  <c r="F266" i="14"/>
  <c r="B275" i="14"/>
  <c r="C275" i="14"/>
  <c r="D275" i="14"/>
  <c r="E275" i="14"/>
  <c r="F275" i="14"/>
  <c r="A275" i="14"/>
  <c r="C287" i="2" l="1"/>
  <c r="E287" i="2" s="1"/>
  <c r="H264" i="17"/>
  <c r="I264" i="17" s="1"/>
  <c r="C292" i="2" l="1"/>
  <c r="C297" i="2" s="1"/>
  <c r="J264" i="17"/>
  <c r="J275" i="14" s="1"/>
  <c r="I275" i="14"/>
  <c r="K264" i="17"/>
  <c r="K275" i="14" s="1"/>
  <c r="H275" i="14"/>
  <c r="B353" i="14"/>
  <c r="C353" i="14"/>
  <c r="D353" i="14"/>
  <c r="E353" i="14"/>
  <c r="F353" i="14"/>
  <c r="G353" i="14"/>
  <c r="A353" i="14"/>
  <c r="L264" i="17" l="1"/>
  <c r="L275" i="14" s="1"/>
  <c r="B290" i="14"/>
  <c r="C290" i="14"/>
  <c r="D290" i="14"/>
  <c r="E290" i="14"/>
  <c r="F290" i="14"/>
  <c r="G290" i="14"/>
  <c r="A290" i="14"/>
  <c r="A289" i="14"/>
  <c r="H221" i="17"/>
  <c r="I221" i="17" l="1"/>
  <c r="K221" i="17"/>
  <c r="H290" i="14"/>
  <c r="I290" i="14"/>
  <c r="J221" i="17"/>
  <c r="K290" i="14" l="1"/>
  <c r="J290" i="14"/>
  <c r="L221" i="17"/>
  <c r="B29" i="2"/>
  <c r="B16" i="2"/>
  <c r="B28" i="2"/>
  <c r="B27" i="2"/>
  <c r="B26" i="2"/>
  <c r="B25" i="2"/>
  <c r="B24" i="2"/>
  <c r="B23" i="2"/>
  <c r="B22" i="2"/>
  <c r="B21" i="2"/>
  <c r="B20" i="2"/>
  <c r="B19" i="2"/>
  <c r="B18" i="2"/>
  <c r="B17" i="2"/>
  <c r="B15" i="2"/>
  <c r="B14" i="2"/>
  <c r="B13" i="2"/>
  <c r="B12" i="2"/>
  <c r="B11" i="2"/>
  <c r="B10" i="2"/>
  <c r="B8" i="2"/>
  <c r="B7" i="2"/>
  <c r="B6" i="2"/>
  <c r="B5" i="2"/>
  <c r="A66" i="9"/>
  <c r="A65" i="9"/>
  <c r="A63" i="9"/>
  <c r="A60" i="9"/>
  <c r="A59" i="9"/>
  <c r="A57" i="9"/>
  <c r="A56" i="9"/>
  <c r="A51" i="9"/>
  <c r="A43" i="9"/>
  <c r="A38" i="9"/>
  <c r="A35" i="9"/>
  <c r="A30" i="9"/>
  <c r="A12" i="9"/>
  <c r="A28" i="9"/>
  <c r="A27" i="9"/>
  <c r="A21" i="9"/>
  <c r="A19" i="9"/>
  <c r="A18" i="9"/>
  <c r="A15" i="9"/>
  <c r="A14" i="9"/>
  <c r="A13" i="9"/>
  <c r="A11" i="9"/>
  <c r="A10" i="9"/>
  <c r="A9" i="9"/>
  <c r="A4" i="9"/>
  <c r="A3" i="9"/>
  <c r="B379" i="14"/>
  <c r="C379" i="14"/>
  <c r="D379" i="14"/>
  <c r="E379" i="14"/>
  <c r="F379" i="14"/>
  <c r="G379" i="14"/>
  <c r="K379" i="14"/>
  <c r="A379" i="14"/>
  <c r="B243" i="14"/>
  <c r="C243" i="14"/>
  <c r="D243" i="14"/>
  <c r="E243" i="14"/>
  <c r="F243" i="14"/>
  <c r="G243" i="14"/>
  <c r="K243" i="14"/>
  <c r="A243" i="14"/>
  <c r="A87" i="14"/>
  <c r="B87" i="14"/>
  <c r="C87" i="14"/>
  <c r="D87" i="14"/>
  <c r="E87" i="14"/>
  <c r="F87" i="14"/>
  <c r="G87" i="14"/>
  <c r="B86" i="14"/>
  <c r="C86" i="14"/>
  <c r="D86" i="14"/>
  <c r="E86" i="14"/>
  <c r="F86" i="14"/>
  <c r="G86" i="14"/>
  <c r="A86" i="14"/>
  <c r="A363" i="14"/>
  <c r="B363" i="14"/>
  <c r="C363" i="14"/>
  <c r="D363" i="14"/>
  <c r="E363" i="14"/>
  <c r="F363" i="14"/>
  <c r="G363" i="14"/>
  <c r="B362" i="14"/>
  <c r="C362" i="14"/>
  <c r="D362" i="14"/>
  <c r="E362" i="14"/>
  <c r="F362" i="14"/>
  <c r="G362" i="14"/>
  <c r="A362" i="14"/>
  <c r="A361" i="14"/>
  <c r="B361" i="14"/>
  <c r="C361" i="14"/>
  <c r="D361" i="14"/>
  <c r="E361" i="14"/>
  <c r="F361" i="14"/>
  <c r="G361" i="14"/>
  <c r="A239" i="14"/>
  <c r="B239" i="14"/>
  <c r="C239" i="14"/>
  <c r="D239" i="14"/>
  <c r="E239" i="14"/>
  <c r="F239" i="14"/>
  <c r="A240" i="14"/>
  <c r="B240" i="14"/>
  <c r="C240" i="14"/>
  <c r="D240" i="14"/>
  <c r="E240" i="14"/>
  <c r="F240" i="14"/>
  <c r="G240" i="14"/>
  <c r="B360" i="14"/>
  <c r="C360" i="14"/>
  <c r="D360" i="14"/>
  <c r="E360" i="14"/>
  <c r="F360" i="14"/>
  <c r="G360" i="14"/>
  <c r="A360" i="14"/>
  <c r="B396" i="14"/>
  <c r="C396" i="14"/>
  <c r="D396" i="14"/>
  <c r="E396" i="14"/>
  <c r="F396" i="14"/>
  <c r="G396" i="14"/>
  <c r="A396" i="14"/>
  <c r="B339" i="14"/>
  <c r="C339" i="14"/>
  <c r="D339" i="14"/>
  <c r="E339" i="14"/>
  <c r="F339" i="14"/>
  <c r="G339" i="14"/>
  <c r="A339" i="14"/>
  <c r="B233" i="14"/>
  <c r="C233" i="14"/>
  <c r="D233" i="14"/>
  <c r="E233" i="14"/>
  <c r="F233" i="14"/>
  <c r="G233" i="14"/>
  <c r="A233" i="14"/>
  <c r="B119" i="14"/>
  <c r="C119" i="14"/>
  <c r="D119" i="14"/>
  <c r="E119" i="14"/>
  <c r="F119" i="14"/>
  <c r="G119" i="14"/>
  <c r="A119" i="14"/>
  <c r="B118" i="14"/>
  <c r="C118" i="14"/>
  <c r="D118" i="14"/>
  <c r="E118" i="14"/>
  <c r="F118" i="14"/>
  <c r="G118" i="14"/>
  <c r="A118" i="14"/>
  <c r="B164" i="14"/>
  <c r="C164" i="14"/>
  <c r="D164" i="14"/>
  <c r="E164" i="14"/>
  <c r="F164" i="14"/>
  <c r="G164" i="14"/>
  <c r="A164" i="14"/>
  <c r="B50" i="14"/>
  <c r="C50" i="14"/>
  <c r="D50" i="14"/>
  <c r="E50" i="14"/>
  <c r="F50" i="14"/>
  <c r="G50" i="14"/>
  <c r="A50" i="14"/>
  <c r="A134" i="14"/>
  <c r="B134" i="14"/>
  <c r="C134" i="14"/>
  <c r="D134" i="14"/>
  <c r="E134" i="14"/>
  <c r="F134" i="14"/>
  <c r="G134" i="14"/>
  <c r="A135" i="14"/>
  <c r="B135" i="14"/>
  <c r="C135" i="14"/>
  <c r="D135" i="14"/>
  <c r="E135" i="14"/>
  <c r="F135" i="14"/>
  <c r="G135" i="14"/>
  <c r="A136" i="14"/>
  <c r="B136" i="14"/>
  <c r="C136" i="14"/>
  <c r="D136" i="14"/>
  <c r="E136" i="14"/>
  <c r="F136" i="14"/>
  <c r="G136" i="14"/>
  <c r="B133" i="14"/>
  <c r="C133" i="14"/>
  <c r="D133" i="14"/>
  <c r="E133" i="14"/>
  <c r="F133" i="14"/>
  <c r="G133" i="14"/>
  <c r="A133" i="14"/>
  <c r="A437" i="14"/>
  <c r="B437" i="14"/>
  <c r="C437" i="14"/>
  <c r="D437" i="14"/>
  <c r="E437" i="14"/>
  <c r="F437" i="14"/>
  <c r="G437" i="14"/>
  <c r="B435" i="14"/>
  <c r="C435" i="14"/>
  <c r="D435" i="14"/>
  <c r="E435" i="14"/>
  <c r="F435" i="14"/>
  <c r="G435" i="14"/>
  <c r="A435" i="14"/>
  <c r="A43" i="14"/>
  <c r="B43" i="14"/>
  <c r="C43" i="14"/>
  <c r="D43" i="14"/>
  <c r="E43" i="14"/>
  <c r="F43" i="14"/>
  <c r="G43" i="14"/>
  <c r="B42" i="14"/>
  <c r="C42" i="14"/>
  <c r="D42" i="14"/>
  <c r="E42" i="14"/>
  <c r="F42" i="14"/>
  <c r="G42" i="14"/>
  <c r="A42" i="14"/>
  <c r="A272" i="14"/>
  <c r="B272" i="14"/>
  <c r="C272" i="14"/>
  <c r="D272" i="14"/>
  <c r="E272" i="14"/>
  <c r="F272" i="14"/>
  <c r="G272" i="14"/>
  <c r="A273" i="14"/>
  <c r="B273" i="14"/>
  <c r="C273" i="14"/>
  <c r="D273" i="14"/>
  <c r="E273" i="14"/>
  <c r="F273" i="14"/>
  <c r="G273" i="14"/>
  <c r="A274" i="14"/>
  <c r="B274" i="14"/>
  <c r="C274" i="14"/>
  <c r="D274" i="14"/>
  <c r="E274" i="14"/>
  <c r="F274" i="14"/>
  <c r="G274" i="14"/>
  <c r="B271" i="14"/>
  <c r="C271" i="14"/>
  <c r="D271" i="14"/>
  <c r="E271" i="14"/>
  <c r="F271" i="14"/>
  <c r="G271" i="14"/>
  <c r="A271" i="14"/>
  <c r="A384" i="14"/>
  <c r="B384" i="14"/>
  <c r="C384" i="14"/>
  <c r="D384" i="14"/>
  <c r="E384" i="14"/>
  <c r="F384" i="14"/>
  <c r="G384" i="14"/>
  <c r="B383" i="14"/>
  <c r="C383" i="14"/>
  <c r="D383" i="14"/>
  <c r="E383" i="14"/>
  <c r="F383" i="14"/>
  <c r="G383" i="14"/>
  <c r="A383" i="14"/>
  <c r="A433" i="14"/>
  <c r="B433" i="14"/>
  <c r="C433" i="14"/>
  <c r="D433" i="14"/>
  <c r="E433" i="14"/>
  <c r="F433" i="14"/>
  <c r="G433" i="14"/>
  <c r="B432" i="14"/>
  <c r="C432" i="14"/>
  <c r="D432" i="14"/>
  <c r="E432" i="14"/>
  <c r="F432" i="14"/>
  <c r="G432" i="14"/>
  <c r="A432" i="14"/>
  <c r="A209" i="14"/>
  <c r="B209" i="14"/>
  <c r="C209" i="14"/>
  <c r="D209" i="14"/>
  <c r="E209" i="14"/>
  <c r="F209" i="14"/>
  <c r="G209" i="14"/>
  <c r="B208" i="14"/>
  <c r="C208" i="14"/>
  <c r="D208" i="14"/>
  <c r="E208" i="14"/>
  <c r="F208" i="14"/>
  <c r="G208" i="14"/>
  <c r="A208" i="14"/>
  <c r="A260" i="14"/>
  <c r="B260" i="14"/>
  <c r="C260" i="14"/>
  <c r="D260" i="14"/>
  <c r="E260" i="14"/>
  <c r="F260" i="14"/>
  <c r="G260" i="14"/>
  <c r="A261" i="14"/>
  <c r="B261" i="14"/>
  <c r="C261" i="14"/>
  <c r="D261" i="14"/>
  <c r="E261" i="14"/>
  <c r="F261" i="14"/>
  <c r="G261" i="14"/>
  <c r="A262" i="14"/>
  <c r="B262" i="14"/>
  <c r="C262" i="14"/>
  <c r="D262" i="14"/>
  <c r="E262" i="14"/>
  <c r="F262" i="14"/>
  <c r="G262" i="14"/>
  <c r="A265" i="14"/>
  <c r="B265" i="14"/>
  <c r="C265" i="14"/>
  <c r="D265" i="14"/>
  <c r="E265" i="14"/>
  <c r="F265" i="14"/>
  <c r="G265" i="14"/>
  <c r="A266" i="14"/>
  <c r="B266" i="14"/>
  <c r="C266" i="14"/>
  <c r="D266" i="14"/>
  <c r="E266" i="14"/>
  <c r="G266" i="14"/>
  <c r="A267" i="14"/>
  <c r="B267" i="14"/>
  <c r="C267" i="14"/>
  <c r="D267" i="14"/>
  <c r="E267" i="14"/>
  <c r="F267" i="14"/>
  <c r="G267" i="14"/>
  <c r="A268" i="14"/>
  <c r="B268" i="14"/>
  <c r="C268" i="14"/>
  <c r="D268" i="14"/>
  <c r="E268" i="14"/>
  <c r="F268" i="14"/>
  <c r="G268" i="14"/>
  <c r="A269" i="14"/>
  <c r="B269" i="14"/>
  <c r="C269" i="14"/>
  <c r="D269" i="14"/>
  <c r="E269" i="14"/>
  <c r="F269" i="14"/>
  <c r="G269" i="14"/>
  <c r="A270" i="14"/>
  <c r="B270" i="14"/>
  <c r="C270" i="14"/>
  <c r="D270" i="14"/>
  <c r="E270" i="14"/>
  <c r="F270" i="14"/>
  <c r="G270" i="14"/>
  <c r="B259" i="14"/>
  <c r="C259" i="14"/>
  <c r="D259" i="14"/>
  <c r="E259" i="14"/>
  <c r="F259" i="14"/>
  <c r="G259" i="14"/>
  <c r="A259" i="14"/>
  <c r="B47" i="14"/>
  <c r="C47" i="14"/>
  <c r="D47" i="14"/>
  <c r="E47" i="14"/>
  <c r="F47" i="14"/>
  <c r="G47" i="14"/>
  <c r="A47" i="14"/>
  <c r="B371" i="14"/>
  <c r="C371" i="14"/>
  <c r="D371" i="14"/>
  <c r="E371" i="14"/>
  <c r="F371" i="14"/>
  <c r="G371" i="14"/>
  <c r="A371" i="14"/>
  <c r="A186" i="14"/>
  <c r="B186" i="14"/>
  <c r="C186" i="14"/>
  <c r="D186" i="14"/>
  <c r="E186" i="14"/>
  <c r="F186" i="14"/>
  <c r="G186" i="14"/>
  <c r="B185" i="14"/>
  <c r="C185" i="14"/>
  <c r="D185" i="14"/>
  <c r="E185" i="14"/>
  <c r="F185" i="14"/>
  <c r="G185" i="14"/>
  <c r="A185" i="14"/>
  <c r="B10" i="14"/>
  <c r="C10" i="14"/>
  <c r="D10" i="14"/>
  <c r="E10" i="14"/>
  <c r="A10" i="14"/>
  <c r="B73" i="14"/>
  <c r="C73" i="14"/>
  <c r="D73" i="14"/>
  <c r="F73" i="14"/>
  <c r="G73" i="14"/>
  <c r="A73" i="14"/>
  <c r="B283" i="14"/>
  <c r="C283" i="14"/>
  <c r="D283" i="14"/>
  <c r="E283" i="14"/>
  <c r="G283" i="14"/>
  <c r="A283" i="14"/>
  <c r="B282" i="14"/>
  <c r="C282" i="14"/>
  <c r="D282" i="14"/>
  <c r="E282" i="14"/>
  <c r="F282" i="14"/>
  <c r="G282" i="14"/>
  <c r="A282" i="14"/>
  <c r="A71" i="14"/>
  <c r="B71" i="14"/>
  <c r="C71" i="14"/>
  <c r="D71" i="14"/>
  <c r="E71" i="14"/>
  <c r="F71" i="14"/>
  <c r="G71" i="14"/>
  <c r="A72" i="14"/>
  <c r="B72" i="14"/>
  <c r="C72" i="14"/>
  <c r="D72" i="14"/>
  <c r="E72" i="14"/>
  <c r="F72" i="14"/>
  <c r="G72" i="14"/>
  <c r="B70" i="14"/>
  <c r="C70" i="14"/>
  <c r="D70" i="14"/>
  <c r="E70" i="14"/>
  <c r="F70" i="14"/>
  <c r="G70" i="14"/>
  <c r="A70" i="14"/>
  <c r="B56" i="14"/>
  <c r="C56" i="14"/>
  <c r="D56" i="14"/>
  <c r="E56" i="14"/>
  <c r="F56" i="14"/>
  <c r="G56" i="14"/>
  <c r="A56" i="14"/>
  <c r="B63" i="14"/>
  <c r="C63" i="14"/>
  <c r="D63" i="14"/>
  <c r="E63" i="14"/>
  <c r="G63" i="14"/>
  <c r="A63" i="14"/>
  <c r="B158" i="14"/>
  <c r="C158" i="14"/>
  <c r="D158" i="14"/>
  <c r="E158" i="14"/>
  <c r="F158" i="14"/>
  <c r="G158" i="14"/>
  <c r="A158" i="14"/>
  <c r="B195" i="14"/>
  <c r="C195" i="14"/>
  <c r="D195" i="14"/>
  <c r="E195" i="14"/>
  <c r="F195" i="14"/>
  <c r="G195" i="14"/>
  <c r="A195" i="14"/>
  <c r="A153" i="14"/>
  <c r="B153" i="14"/>
  <c r="C153" i="14"/>
  <c r="D153" i="14"/>
  <c r="E153" i="14"/>
  <c r="F153" i="14"/>
  <c r="G153" i="14"/>
  <c r="A154" i="14"/>
  <c r="B154" i="14"/>
  <c r="C154" i="14"/>
  <c r="D154" i="14"/>
  <c r="E154" i="14"/>
  <c r="F154" i="14"/>
  <c r="G154" i="14"/>
  <c r="A156" i="14"/>
  <c r="B156" i="14"/>
  <c r="C156" i="14"/>
  <c r="D156" i="14"/>
  <c r="E156" i="14"/>
  <c r="F156" i="14"/>
  <c r="G156" i="14"/>
  <c r="A157" i="14"/>
  <c r="B157" i="14"/>
  <c r="C157" i="14"/>
  <c r="D157" i="14"/>
  <c r="E157" i="14"/>
  <c r="F157" i="14"/>
  <c r="G157" i="14"/>
  <c r="B152" i="14"/>
  <c r="C152" i="14"/>
  <c r="D152" i="14"/>
  <c r="E152" i="14"/>
  <c r="F152" i="14"/>
  <c r="G152" i="14"/>
  <c r="A152" i="14"/>
  <c r="A287" i="14"/>
  <c r="B287" i="14"/>
  <c r="C287" i="14"/>
  <c r="D287" i="14"/>
  <c r="E287" i="14"/>
  <c r="F287" i="14"/>
  <c r="G287" i="14"/>
  <c r="A288" i="14"/>
  <c r="B288" i="14"/>
  <c r="C288" i="14"/>
  <c r="D288" i="14"/>
  <c r="E288" i="14"/>
  <c r="F288" i="14"/>
  <c r="G288" i="14"/>
  <c r="B286" i="14"/>
  <c r="C286" i="14"/>
  <c r="D286" i="14"/>
  <c r="E286" i="14"/>
  <c r="F286" i="14"/>
  <c r="G286" i="14"/>
  <c r="A286" i="14"/>
  <c r="B331" i="14"/>
  <c r="C331" i="14"/>
  <c r="D331" i="14"/>
  <c r="E331" i="14"/>
  <c r="F331" i="14"/>
  <c r="G331" i="14"/>
  <c r="A331" i="14"/>
  <c r="B414" i="14"/>
  <c r="C414" i="14"/>
  <c r="D414" i="14"/>
  <c r="E414" i="14"/>
  <c r="F414" i="14"/>
  <c r="G414" i="14"/>
  <c r="A414" i="14"/>
  <c r="B413" i="14"/>
  <c r="C413" i="14"/>
  <c r="D413" i="14"/>
  <c r="E413" i="14"/>
  <c r="F413" i="14"/>
  <c r="G413" i="14"/>
  <c r="A413" i="14"/>
  <c r="B453" i="14"/>
  <c r="C453" i="14"/>
  <c r="D453" i="14"/>
  <c r="E453" i="14"/>
  <c r="F453" i="14"/>
  <c r="G453" i="14"/>
  <c r="A453" i="14"/>
  <c r="A452" i="14"/>
  <c r="B452" i="14"/>
  <c r="C452" i="14"/>
  <c r="D452" i="14"/>
  <c r="E452" i="14"/>
  <c r="F452" i="14"/>
  <c r="G452" i="14"/>
  <c r="B451" i="14"/>
  <c r="C451" i="14"/>
  <c r="D451" i="14"/>
  <c r="E451" i="14"/>
  <c r="F451" i="14"/>
  <c r="G451" i="14"/>
  <c r="A451" i="14"/>
  <c r="B184" i="14"/>
  <c r="C184" i="14"/>
  <c r="D184" i="14"/>
  <c r="E184" i="14"/>
  <c r="F184" i="14"/>
  <c r="G184" i="14"/>
  <c r="A184" i="14"/>
  <c r="A183" i="14"/>
  <c r="B183" i="14"/>
  <c r="C183" i="14"/>
  <c r="D183" i="14"/>
  <c r="E183" i="14"/>
  <c r="F183" i="14"/>
  <c r="G183" i="14"/>
  <c r="B114" i="14"/>
  <c r="C114" i="14"/>
  <c r="D114" i="14"/>
  <c r="E114" i="14"/>
  <c r="F114" i="14"/>
  <c r="G114" i="14"/>
  <c r="A114" i="14"/>
  <c r="B113" i="14"/>
  <c r="C113" i="14"/>
  <c r="D113" i="14"/>
  <c r="E113" i="14"/>
  <c r="F113" i="14"/>
  <c r="G113" i="14"/>
  <c r="A113" i="14"/>
  <c r="A328" i="14"/>
  <c r="B328" i="14"/>
  <c r="C328" i="14"/>
  <c r="D328" i="14"/>
  <c r="E328" i="14"/>
  <c r="F328" i="14"/>
  <c r="G328" i="14"/>
  <c r="A329" i="14"/>
  <c r="B329" i="14"/>
  <c r="C329" i="14"/>
  <c r="D329" i="14"/>
  <c r="E329" i="14"/>
  <c r="F329" i="14"/>
  <c r="G329" i="14"/>
  <c r="A330" i="14"/>
  <c r="B330" i="14"/>
  <c r="C330" i="14"/>
  <c r="D330" i="14"/>
  <c r="E330" i="14"/>
  <c r="F330" i="14"/>
  <c r="G330" i="14"/>
  <c r="B327" i="14"/>
  <c r="C327" i="14"/>
  <c r="D327" i="14"/>
  <c r="E327" i="14"/>
  <c r="G327" i="14"/>
  <c r="A327" i="14"/>
  <c r="A112" i="14"/>
  <c r="B112" i="14"/>
  <c r="C112" i="14"/>
  <c r="D112" i="14"/>
  <c r="E112" i="14"/>
  <c r="F112" i="14"/>
  <c r="G112" i="14"/>
  <c r="B111" i="14"/>
  <c r="C111" i="14"/>
  <c r="D111" i="14"/>
  <c r="E111" i="14"/>
  <c r="F111" i="14"/>
  <c r="G111" i="14"/>
  <c r="A111" i="14"/>
  <c r="A34" i="14"/>
  <c r="B34" i="14"/>
  <c r="C34" i="14"/>
  <c r="D34" i="14"/>
  <c r="E34" i="14"/>
  <c r="F34" i="14"/>
  <c r="G34" i="14"/>
  <c r="B33" i="14"/>
  <c r="C33" i="14"/>
  <c r="D33" i="14"/>
  <c r="E33" i="14"/>
  <c r="F33" i="14"/>
  <c r="G33" i="14"/>
  <c r="A33" i="14"/>
  <c r="A412" i="14"/>
  <c r="B412" i="14"/>
  <c r="C412" i="14"/>
  <c r="D412" i="14"/>
  <c r="E412" i="14"/>
  <c r="F412" i="14"/>
  <c r="G412" i="14"/>
  <c r="B411" i="14"/>
  <c r="C411" i="14"/>
  <c r="D411" i="14"/>
  <c r="E411" i="14"/>
  <c r="F411" i="14"/>
  <c r="G411" i="14"/>
  <c r="A411" i="14"/>
  <c r="B182" i="14"/>
  <c r="C182" i="14"/>
  <c r="D182" i="14"/>
  <c r="E182" i="14"/>
  <c r="A182" i="14"/>
  <c r="B450" i="14"/>
  <c r="C450" i="14"/>
  <c r="D450" i="14"/>
  <c r="E450" i="14"/>
  <c r="F450" i="14"/>
  <c r="G450" i="14"/>
  <c r="A450" i="14"/>
  <c r="A326" i="14"/>
  <c r="B326" i="14"/>
  <c r="C326" i="14"/>
  <c r="D326" i="14"/>
  <c r="E326" i="14"/>
  <c r="F326" i="14"/>
  <c r="G326" i="14"/>
  <c r="A325" i="14"/>
  <c r="B325" i="14"/>
  <c r="C325" i="14"/>
  <c r="D325" i="14"/>
  <c r="E325" i="14"/>
  <c r="F325" i="14"/>
  <c r="G325" i="14"/>
  <c r="A324" i="14"/>
  <c r="B324" i="14"/>
  <c r="C324" i="14"/>
  <c r="D324" i="14"/>
  <c r="E324" i="14"/>
  <c r="F324" i="14"/>
  <c r="G324" i="14"/>
  <c r="A319" i="14"/>
  <c r="B319" i="14"/>
  <c r="C319" i="14"/>
  <c r="D319" i="14"/>
  <c r="E319" i="14"/>
  <c r="F319" i="14"/>
  <c r="G319" i="14"/>
  <c r="A320" i="14"/>
  <c r="B320" i="14"/>
  <c r="C320" i="14"/>
  <c r="D320" i="14"/>
  <c r="E320" i="14"/>
  <c r="F320" i="14"/>
  <c r="G320" i="14"/>
  <c r="A321" i="14"/>
  <c r="B321" i="14"/>
  <c r="C321" i="14"/>
  <c r="D321" i="14"/>
  <c r="E321" i="14"/>
  <c r="F321" i="14"/>
  <c r="G321" i="14"/>
  <c r="A322" i="14"/>
  <c r="B322" i="14"/>
  <c r="C322" i="14"/>
  <c r="D322" i="14"/>
  <c r="E322" i="14"/>
  <c r="F322" i="14"/>
  <c r="G322" i="14"/>
  <c r="A323" i="14"/>
  <c r="B323" i="14"/>
  <c r="C323" i="14"/>
  <c r="D323" i="14"/>
  <c r="E323" i="14"/>
  <c r="F323" i="14"/>
  <c r="G323" i="14"/>
  <c r="B318" i="14"/>
  <c r="C318" i="14"/>
  <c r="D318" i="14"/>
  <c r="E318" i="14"/>
  <c r="F318" i="14"/>
  <c r="G318" i="14"/>
  <c r="A318" i="14"/>
  <c r="A317" i="14"/>
  <c r="B317" i="14"/>
  <c r="C317" i="14"/>
  <c r="D317" i="14"/>
  <c r="E317" i="14"/>
  <c r="F317" i="14"/>
  <c r="G317" i="14"/>
  <c r="B316" i="14"/>
  <c r="C316" i="14"/>
  <c r="D316" i="14"/>
  <c r="E316" i="14"/>
  <c r="F316" i="14"/>
  <c r="G316" i="14"/>
  <c r="A316" i="14"/>
  <c r="A67" i="14"/>
  <c r="B67" i="14"/>
  <c r="C67" i="14"/>
  <c r="D67" i="14"/>
  <c r="E67" i="14"/>
  <c r="F67" i="14"/>
  <c r="G67" i="14"/>
  <c r="B66" i="14"/>
  <c r="C66" i="14"/>
  <c r="D66" i="14"/>
  <c r="E66" i="14"/>
  <c r="F66" i="14"/>
  <c r="G66" i="14"/>
  <c r="A66" i="14"/>
  <c r="A313" i="14"/>
  <c r="B313" i="14"/>
  <c r="C313" i="14"/>
  <c r="D313" i="14"/>
  <c r="E313" i="14"/>
  <c r="F313" i="14"/>
  <c r="G313" i="14"/>
  <c r="A314" i="14"/>
  <c r="B314" i="14"/>
  <c r="C314" i="14"/>
  <c r="D314" i="14"/>
  <c r="E314" i="14"/>
  <c r="F314" i="14"/>
  <c r="G314" i="14"/>
  <c r="A315" i="14"/>
  <c r="B315" i="14"/>
  <c r="C315" i="14"/>
  <c r="D315" i="14"/>
  <c r="E315" i="14"/>
  <c r="F315" i="14"/>
  <c r="G315" i="14"/>
  <c r="B312" i="14"/>
  <c r="C312" i="14"/>
  <c r="D312" i="14"/>
  <c r="E312" i="14"/>
  <c r="F312" i="14"/>
  <c r="G312" i="14"/>
  <c r="A312" i="14"/>
  <c r="A180" i="14"/>
  <c r="B180" i="14"/>
  <c r="C180" i="14"/>
  <c r="D180" i="14"/>
  <c r="E180" i="14"/>
  <c r="F180" i="14"/>
  <c r="G180" i="14"/>
  <c r="A181" i="14"/>
  <c r="B181" i="14"/>
  <c r="C181" i="14"/>
  <c r="D181" i="14"/>
  <c r="E181" i="14"/>
  <c r="F181" i="14"/>
  <c r="G181" i="14"/>
  <c r="B179" i="14"/>
  <c r="C179" i="14"/>
  <c r="D179" i="14"/>
  <c r="E179" i="14"/>
  <c r="F179" i="14"/>
  <c r="G179" i="14"/>
  <c r="A179" i="14"/>
  <c r="A178" i="14"/>
  <c r="B178" i="14"/>
  <c r="C178" i="14"/>
  <c r="D178" i="14"/>
  <c r="E178" i="14"/>
  <c r="F178" i="14"/>
  <c r="G178" i="14"/>
  <c r="B177" i="14"/>
  <c r="C177" i="14"/>
  <c r="D177" i="14"/>
  <c r="E177" i="14"/>
  <c r="F177" i="14"/>
  <c r="G177" i="14"/>
  <c r="A177" i="14"/>
  <c r="A447" i="14"/>
  <c r="B447" i="14"/>
  <c r="C447" i="14"/>
  <c r="D447" i="14"/>
  <c r="E447" i="14"/>
  <c r="F447" i="14"/>
  <c r="G447" i="14"/>
  <c r="A448" i="14"/>
  <c r="B448" i="14"/>
  <c r="C448" i="14"/>
  <c r="D448" i="14"/>
  <c r="E448" i="14"/>
  <c r="F448" i="14"/>
  <c r="G448" i="14"/>
  <c r="A449" i="14"/>
  <c r="B449" i="14"/>
  <c r="C449" i="14"/>
  <c r="D449" i="14"/>
  <c r="E449" i="14"/>
  <c r="F449" i="14"/>
  <c r="G449" i="14"/>
  <c r="B446" i="14"/>
  <c r="C446" i="14"/>
  <c r="D446" i="14"/>
  <c r="E446" i="14"/>
  <c r="F446" i="14"/>
  <c r="G446" i="14"/>
  <c r="A446" i="14"/>
  <c r="A141" i="14"/>
  <c r="B141" i="14"/>
  <c r="C141" i="14"/>
  <c r="D141" i="14"/>
  <c r="E141" i="14"/>
  <c r="F141" i="14"/>
  <c r="G141" i="14"/>
  <c r="B140" i="14"/>
  <c r="C140" i="14"/>
  <c r="A25" i="9" s="1"/>
  <c r="D140" i="14"/>
  <c r="E140" i="14"/>
  <c r="F140" i="14"/>
  <c r="G140" i="14"/>
  <c r="A140" i="14"/>
  <c r="A176" i="14"/>
  <c r="B176" i="14"/>
  <c r="C176" i="14"/>
  <c r="D176" i="14"/>
  <c r="E176" i="14"/>
  <c r="F176" i="14"/>
  <c r="G176" i="14"/>
  <c r="B175" i="14"/>
  <c r="C175" i="14"/>
  <c r="D175" i="14"/>
  <c r="E175" i="14"/>
  <c r="F175" i="14"/>
  <c r="G175" i="14"/>
  <c r="A175" i="14"/>
  <c r="A105" i="14"/>
  <c r="B105" i="14"/>
  <c r="C105" i="14"/>
  <c r="D105" i="14"/>
  <c r="E105" i="14"/>
  <c r="F105" i="14"/>
  <c r="G105" i="14"/>
  <c r="B104" i="14"/>
  <c r="C104" i="14"/>
  <c r="D104" i="14"/>
  <c r="E104" i="14"/>
  <c r="F104" i="14"/>
  <c r="G104" i="14"/>
  <c r="A104" i="14"/>
  <c r="A227" i="14"/>
  <c r="B227" i="14"/>
  <c r="C227" i="14"/>
  <c r="D227" i="14"/>
  <c r="E227" i="14"/>
  <c r="F227" i="14"/>
  <c r="G227" i="14"/>
  <c r="B226" i="14"/>
  <c r="C226" i="14"/>
  <c r="D226" i="14"/>
  <c r="E226" i="14"/>
  <c r="F226" i="14"/>
  <c r="G226" i="14"/>
  <c r="A226" i="14"/>
  <c r="A335" i="14"/>
  <c r="B335" i="14"/>
  <c r="C335" i="14"/>
  <c r="D335" i="14"/>
  <c r="E335" i="14"/>
  <c r="F335" i="14"/>
  <c r="G335" i="14"/>
  <c r="B334" i="14"/>
  <c r="C334" i="14"/>
  <c r="D334" i="14"/>
  <c r="E334" i="14"/>
  <c r="F334" i="14"/>
  <c r="G334" i="14"/>
  <c r="A334" i="14"/>
  <c r="A151" i="14"/>
  <c r="B151" i="14"/>
  <c r="C151" i="14"/>
  <c r="D151" i="14"/>
  <c r="E151" i="14"/>
  <c r="F151" i="14"/>
  <c r="G151" i="14"/>
  <c r="B150" i="14"/>
  <c r="C150" i="14"/>
  <c r="D150" i="14"/>
  <c r="E150" i="14"/>
  <c r="F150" i="14"/>
  <c r="G150" i="14"/>
  <c r="A150" i="14"/>
  <c r="A225" i="14"/>
  <c r="B225" i="14"/>
  <c r="C225" i="14"/>
  <c r="D225" i="14"/>
  <c r="E225" i="14"/>
  <c r="F225" i="14"/>
  <c r="G225" i="14"/>
  <c r="B224" i="14"/>
  <c r="C224" i="14"/>
  <c r="D224" i="14"/>
  <c r="E224" i="14"/>
  <c r="F224" i="14"/>
  <c r="G224" i="14"/>
  <c r="A224" i="14"/>
  <c r="A305" i="14"/>
  <c r="B305" i="14"/>
  <c r="C305" i="14"/>
  <c r="D305" i="14"/>
  <c r="E305" i="14"/>
  <c r="F305" i="14"/>
  <c r="G305" i="14"/>
  <c r="A298" i="14"/>
  <c r="B298" i="14"/>
  <c r="C298" i="14"/>
  <c r="D298" i="14"/>
  <c r="E298" i="14"/>
  <c r="F298" i="14"/>
  <c r="G298" i="14"/>
  <c r="A300" i="14"/>
  <c r="B300" i="14"/>
  <c r="C300" i="14"/>
  <c r="D300" i="14"/>
  <c r="E300" i="14"/>
  <c r="F300" i="14"/>
  <c r="G300" i="14"/>
  <c r="A301" i="14"/>
  <c r="B301" i="14"/>
  <c r="C301" i="14"/>
  <c r="D301" i="14"/>
  <c r="E301" i="14"/>
  <c r="F301" i="14"/>
  <c r="G301" i="14"/>
  <c r="A302" i="14"/>
  <c r="B302" i="14"/>
  <c r="C302" i="14"/>
  <c r="D302" i="14"/>
  <c r="E302" i="14"/>
  <c r="F302" i="14"/>
  <c r="G302" i="14"/>
  <c r="A303" i="14"/>
  <c r="B303" i="14"/>
  <c r="C303" i="14"/>
  <c r="D303" i="14"/>
  <c r="E303" i="14"/>
  <c r="F303" i="14"/>
  <c r="G303" i="14"/>
  <c r="A304" i="14"/>
  <c r="B304" i="14"/>
  <c r="C304" i="14"/>
  <c r="D304" i="14"/>
  <c r="E304" i="14"/>
  <c r="G304" i="14"/>
  <c r="B297" i="14"/>
  <c r="C297" i="14"/>
  <c r="D297" i="14"/>
  <c r="E297" i="14"/>
  <c r="F297" i="14"/>
  <c r="G297" i="14"/>
  <c r="A297" i="14"/>
  <c r="B221" i="14"/>
  <c r="C221" i="14"/>
  <c r="D221" i="14"/>
  <c r="E221" i="14"/>
  <c r="F221" i="14"/>
  <c r="G221" i="14"/>
  <c r="A221" i="14"/>
  <c r="A79" i="14"/>
  <c r="B79" i="14"/>
  <c r="C79" i="14"/>
  <c r="D79" i="14"/>
  <c r="E79" i="14"/>
  <c r="F79" i="14"/>
  <c r="G79" i="14"/>
  <c r="B78" i="14"/>
  <c r="C78" i="14"/>
  <c r="D78" i="14"/>
  <c r="E78" i="14"/>
  <c r="F78" i="14"/>
  <c r="G78" i="14"/>
  <c r="A78" i="14"/>
  <c r="A426" i="14"/>
  <c r="B426" i="14"/>
  <c r="C426" i="14"/>
  <c r="D426" i="14"/>
  <c r="E426" i="14"/>
  <c r="G426" i="14"/>
  <c r="B424" i="14"/>
  <c r="C424" i="14"/>
  <c r="D424" i="14"/>
  <c r="E424" i="14"/>
  <c r="F424" i="14"/>
  <c r="G424" i="14"/>
  <c r="A424" i="14"/>
  <c r="A174" i="14"/>
  <c r="B174" i="14"/>
  <c r="C174" i="14"/>
  <c r="D174" i="14"/>
  <c r="E174" i="14"/>
  <c r="F174" i="14"/>
  <c r="G174" i="14"/>
  <c r="B173" i="14"/>
  <c r="C173" i="14"/>
  <c r="D173" i="14"/>
  <c r="E173" i="14"/>
  <c r="F173" i="14"/>
  <c r="G173" i="14"/>
  <c r="A173" i="14"/>
  <c r="A9" i="14"/>
  <c r="B9" i="14"/>
  <c r="C9" i="14"/>
  <c r="D9" i="14"/>
  <c r="E9" i="14"/>
  <c r="F9" i="14"/>
  <c r="G9" i="14"/>
  <c r="B8" i="14"/>
  <c r="C8" i="14"/>
  <c r="D8" i="14"/>
  <c r="E8" i="14"/>
  <c r="F8" i="14"/>
  <c r="G8" i="14"/>
  <c r="A8" i="14"/>
  <c r="A12" i="14"/>
  <c r="B12" i="14"/>
  <c r="C12" i="14"/>
  <c r="D12" i="14"/>
  <c r="E12" i="14"/>
  <c r="F12" i="14"/>
  <c r="G12" i="14"/>
  <c r="B11" i="14"/>
  <c r="C11" i="14"/>
  <c r="D11" i="14"/>
  <c r="E11" i="14"/>
  <c r="F11" i="14"/>
  <c r="G11" i="14"/>
  <c r="A11" i="14"/>
  <c r="A55" i="14"/>
  <c r="B55" i="14"/>
  <c r="C55" i="14"/>
  <c r="D55" i="14"/>
  <c r="E55" i="14"/>
  <c r="F55" i="14"/>
  <c r="G55" i="14"/>
  <c r="B54" i="14"/>
  <c r="C54" i="14"/>
  <c r="D54" i="14"/>
  <c r="E54" i="14"/>
  <c r="F54" i="14"/>
  <c r="G54" i="14"/>
  <c r="A54" i="14"/>
  <c r="A294" i="14"/>
  <c r="B294" i="14"/>
  <c r="C294" i="14"/>
  <c r="D294" i="14"/>
  <c r="E294" i="14"/>
  <c r="F294" i="14"/>
  <c r="G294" i="14"/>
  <c r="A295" i="14"/>
  <c r="B295" i="14"/>
  <c r="C295" i="14"/>
  <c r="D295" i="14"/>
  <c r="E295" i="14"/>
  <c r="F295" i="14"/>
  <c r="G295" i="14"/>
  <c r="A296" i="14"/>
  <c r="B296" i="14"/>
  <c r="C296" i="14"/>
  <c r="D296" i="14"/>
  <c r="E296" i="14"/>
  <c r="F296" i="14"/>
  <c r="G296" i="14"/>
  <c r="B293" i="14"/>
  <c r="C293" i="14"/>
  <c r="D293" i="14"/>
  <c r="E293" i="14"/>
  <c r="F293" i="14"/>
  <c r="G293" i="14"/>
  <c r="A293" i="14"/>
  <c r="B7" i="14"/>
  <c r="C7" i="14"/>
  <c r="D7" i="14"/>
  <c r="E7" i="14"/>
  <c r="F7" i="14"/>
  <c r="G7" i="14"/>
  <c r="A7" i="14"/>
  <c r="A130" i="14"/>
  <c r="B130" i="14"/>
  <c r="C130" i="14"/>
  <c r="D130" i="14"/>
  <c r="E130" i="14"/>
  <c r="F130" i="14"/>
  <c r="G130" i="14"/>
  <c r="B129" i="14"/>
  <c r="C129" i="14"/>
  <c r="D129" i="14"/>
  <c r="E129" i="14"/>
  <c r="F129" i="14"/>
  <c r="G129" i="14"/>
  <c r="A129" i="14"/>
  <c r="A201" i="14"/>
  <c r="C201" i="14"/>
  <c r="D201" i="14"/>
  <c r="E201" i="14"/>
  <c r="F201" i="14"/>
  <c r="G201" i="14"/>
  <c r="B200" i="14"/>
  <c r="C200" i="14"/>
  <c r="D200" i="14"/>
  <c r="E200" i="14"/>
  <c r="F200" i="14"/>
  <c r="G200" i="14"/>
  <c r="A200" i="14"/>
  <c r="B22" i="14"/>
  <c r="C22" i="14"/>
  <c r="D22" i="14"/>
  <c r="E22" i="14"/>
  <c r="F22" i="14"/>
  <c r="G22" i="14"/>
  <c r="A22" i="14"/>
  <c r="B21" i="14"/>
  <c r="C21" i="14"/>
  <c r="D21" i="14"/>
  <c r="E21" i="14"/>
  <c r="F21" i="14"/>
  <c r="G21" i="14"/>
  <c r="A21" i="14"/>
  <c r="F422" i="14"/>
  <c r="G422" i="14"/>
  <c r="F421" i="14"/>
  <c r="G421" i="14"/>
  <c r="E422" i="14"/>
  <c r="E421" i="14"/>
  <c r="A422" i="14"/>
  <c r="B422" i="14"/>
  <c r="C422" i="14"/>
  <c r="B421" i="14"/>
  <c r="C421" i="14"/>
  <c r="A421" i="14"/>
  <c r="F100" i="14"/>
  <c r="G100" i="14"/>
  <c r="E100" i="14"/>
  <c r="B100" i="14"/>
  <c r="C100" i="14"/>
  <c r="A100" i="14"/>
  <c r="E479" i="14"/>
  <c r="F479" i="14"/>
  <c r="G479" i="14"/>
  <c r="E480" i="14"/>
  <c r="F480" i="14"/>
  <c r="G480" i="14"/>
  <c r="E481" i="14"/>
  <c r="F481" i="14"/>
  <c r="G481" i="14"/>
  <c r="A479" i="14"/>
  <c r="B479" i="14"/>
  <c r="C479" i="14"/>
  <c r="A480" i="14"/>
  <c r="B480" i="14"/>
  <c r="C480" i="14"/>
  <c r="A481" i="14"/>
  <c r="B481" i="14"/>
  <c r="C481" i="14"/>
  <c r="F478" i="14"/>
  <c r="G478" i="14"/>
  <c r="E478" i="14"/>
  <c r="B478" i="14"/>
  <c r="C478" i="14"/>
  <c r="F403" i="14"/>
  <c r="G403" i="14"/>
  <c r="E403" i="14"/>
  <c r="B403" i="14"/>
  <c r="C403" i="14"/>
  <c r="A403" i="14"/>
  <c r="F82" i="14"/>
  <c r="G82" i="14"/>
  <c r="E82" i="14"/>
  <c r="B82" i="14"/>
  <c r="C82" i="14"/>
  <c r="A82" i="14"/>
  <c r="F30" i="14"/>
  <c r="G30" i="14"/>
  <c r="E30" i="14"/>
  <c r="B30" i="14"/>
  <c r="C30" i="14"/>
  <c r="A30" i="14"/>
  <c r="E400" i="14"/>
  <c r="F400" i="14"/>
  <c r="G400" i="14"/>
  <c r="F399" i="14"/>
  <c r="G399" i="14"/>
  <c r="E399" i="14"/>
  <c r="A400" i="14"/>
  <c r="B400" i="14"/>
  <c r="C400" i="14"/>
  <c r="B399" i="14"/>
  <c r="C399" i="14"/>
  <c r="A399" i="14"/>
  <c r="E468" i="14"/>
  <c r="F468" i="14"/>
  <c r="E469" i="14"/>
  <c r="F469" i="14"/>
  <c r="G469" i="14"/>
  <c r="F467" i="14"/>
  <c r="G467" i="14"/>
  <c r="E467" i="14"/>
  <c r="A468" i="14"/>
  <c r="B468" i="14"/>
  <c r="C468" i="14"/>
  <c r="A469" i="14"/>
  <c r="B469" i="14"/>
  <c r="C469" i="14"/>
  <c r="B467" i="14"/>
  <c r="C467" i="14"/>
  <c r="A467" i="14"/>
  <c r="F110" i="14"/>
  <c r="G110" i="14"/>
  <c r="E110" i="14"/>
  <c r="B110" i="14"/>
  <c r="C110" i="14"/>
  <c r="A110" i="14"/>
  <c r="F338" i="14"/>
  <c r="G338" i="14"/>
  <c r="E338" i="14"/>
  <c r="B338" i="14"/>
  <c r="C338" i="14"/>
  <c r="A338" i="14"/>
  <c r="F420" i="14"/>
  <c r="G420" i="14"/>
  <c r="E420" i="14"/>
  <c r="B420" i="14"/>
  <c r="C420" i="14"/>
  <c r="A420" i="14"/>
  <c r="F98" i="14"/>
  <c r="G98" i="14"/>
  <c r="E98" i="14"/>
  <c r="B98" i="14"/>
  <c r="C98" i="14"/>
  <c r="A98" i="14"/>
  <c r="E99" i="14"/>
  <c r="F99" i="14"/>
  <c r="G99" i="14"/>
  <c r="F96" i="14"/>
  <c r="G96" i="14"/>
  <c r="E96" i="14"/>
  <c r="A99" i="14"/>
  <c r="B99" i="14"/>
  <c r="C99" i="14"/>
  <c r="B96" i="14"/>
  <c r="C96" i="14"/>
  <c r="A96" i="14"/>
  <c r="F95" i="14"/>
  <c r="G95" i="14"/>
  <c r="E95" i="14"/>
  <c r="B95" i="14"/>
  <c r="C95" i="14"/>
  <c r="A95" i="14"/>
  <c r="F248" i="14"/>
  <c r="G248" i="14"/>
  <c r="E248" i="14"/>
  <c r="B248" i="14"/>
  <c r="C248" i="14"/>
  <c r="A248" i="14"/>
  <c r="F390" i="14"/>
  <c r="G390" i="14"/>
  <c r="E390" i="14"/>
  <c r="B390" i="14"/>
  <c r="C390" i="14"/>
  <c r="A390" i="14"/>
  <c r="E359" i="14"/>
  <c r="F359" i="14"/>
  <c r="G359" i="14"/>
  <c r="F358" i="14"/>
  <c r="G358" i="14"/>
  <c r="E358" i="14"/>
  <c r="A359" i="14"/>
  <c r="B359" i="14"/>
  <c r="C359" i="14"/>
  <c r="B358" i="14"/>
  <c r="C358" i="14"/>
  <c r="A358" i="14"/>
  <c r="E172" i="14"/>
  <c r="F172" i="14"/>
  <c r="G172" i="14"/>
  <c r="F171" i="14"/>
  <c r="G171" i="14"/>
  <c r="E171" i="14"/>
  <c r="A172" i="14"/>
  <c r="B172" i="14"/>
  <c r="C172" i="14"/>
  <c r="B171" i="14"/>
  <c r="C171" i="14"/>
  <c r="A171" i="14"/>
  <c r="F214" i="14"/>
  <c r="G214" i="14"/>
  <c r="E214" i="14"/>
  <c r="B214" i="14"/>
  <c r="C214" i="14"/>
  <c r="A214" i="14"/>
  <c r="F406" i="14"/>
  <c r="G406" i="14"/>
  <c r="E406" i="14"/>
  <c r="B406" i="14"/>
  <c r="C406" i="14"/>
  <c r="A406" i="14"/>
  <c r="E218" i="14"/>
  <c r="F218" i="14"/>
  <c r="G218" i="14"/>
  <c r="F217" i="14"/>
  <c r="G217" i="14"/>
  <c r="E217" i="14"/>
  <c r="A218" i="14"/>
  <c r="B218" i="14"/>
  <c r="C218" i="14"/>
  <c r="B217" i="14"/>
  <c r="C217" i="14"/>
  <c r="A217" i="14"/>
  <c r="F232" i="14"/>
  <c r="G232" i="14"/>
  <c r="F231" i="14"/>
  <c r="G231" i="14"/>
  <c r="E232" i="14"/>
  <c r="B232" i="14"/>
  <c r="C232" i="14"/>
  <c r="A232" i="14"/>
  <c r="E231" i="14"/>
  <c r="B231" i="14"/>
  <c r="C231" i="14"/>
  <c r="A231" i="14"/>
  <c r="F459" i="14"/>
  <c r="G459" i="14"/>
  <c r="E459" i="14"/>
  <c r="B459" i="14"/>
  <c r="C459" i="14"/>
  <c r="A459" i="14"/>
  <c r="F192" i="14"/>
  <c r="G192" i="14"/>
  <c r="E192" i="14"/>
  <c r="B192" i="14"/>
  <c r="C192" i="14"/>
  <c r="F123" i="14"/>
  <c r="G123" i="14"/>
  <c r="E123" i="14"/>
  <c r="A123" i="14"/>
  <c r="B123" i="14"/>
  <c r="C123" i="14"/>
  <c r="F122" i="14"/>
  <c r="G122" i="14"/>
  <c r="E122" i="14"/>
  <c r="B122" i="14"/>
  <c r="C122" i="14"/>
  <c r="A122" i="14"/>
  <c r="F389" i="14"/>
  <c r="G389" i="14"/>
  <c r="E389" i="14"/>
  <c r="B389" i="14"/>
  <c r="C389" i="14"/>
  <c r="A389" i="14"/>
  <c r="E169" i="14"/>
  <c r="F169" i="14"/>
  <c r="G169" i="14"/>
  <c r="E168" i="14"/>
  <c r="A169" i="14"/>
  <c r="B169" i="14"/>
  <c r="C169" i="14"/>
  <c r="B168" i="14"/>
  <c r="C168" i="14"/>
  <c r="A168" i="14"/>
  <c r="E443" i="14"/>
  <c r="F442" i="14"/>
  <c r="G442" i="14"/>
  <c r="E442" i="14"/>
  <c r="A443" i="14"/>
  <c r="B443" i="14"/>
  <c r="C443" i="14"/>
  <c r="B442" i="14"/>
  <c r="C442" i="14"/>
  <c r="A442" i="14"/>
  <c r="F352" i="14"/>
  <c r="G352" i="14"/>
  <c r="E352" i="14"/>
  <c r="B352" i="14"/>
  <c r="C352" i="14"/>
  <c r="A352" i="14"/>
  <c r="F388" i="14"/>
  <c r="G388" i="14"/>
  <c r="E388" i="14"/>
  <c r="B388" i="14"/>
  <c r="C388" i="14"/>
  <c r="A388" i="14"/>
  <c r="F357" i="14"/>
  <c r="G357" i="14"/>
  <c r="E357" i="14"/>
  <c r="B357" i="14"/>
  <c r="C357" i="14"/>
  <c r="A357" i="14"/>
  <c r="F92" i="14"/>
  <c r="G92" i="14"/>
  <c r="G91" i="14"/>
  <c r="E92" i="14"/>
  <c r="E91" i="14"/>
  <c r="A92" i="14"/>
  <c r="B92" i="14"/>
  <c r="C92" i="14"/>
  <c r="B91" i="14"/>
  <c r="C91" i="14"/>
  <c r="A91" i="14"/>
  <c r="F376" i="14"/>
  <c r="G376" i="14"/>
  <c r="I376" i="14"/>
  <c r="I377" i="14" s="1"/>
  <c r="K376" i="14"/>
  <c r="K377" i="14" s="1"/>
  <c r="E376" i="14"/>
  <c r="B376" i="14"/>
  <c r="C376" i="14"/>
  <c r="A376" i="14"/>
  <c r="E279" i="14"/>
  <c r="F279" i="14"/>
  <c r="G279" i="14"/>
  <c r="F278" i="14"/>
  <c r="G278" i="14"/>
  <c r="E278" i="14"/>
  <c r="A279" i="14"/>
  <c r="B279" i="14"/>
  <c r="C279" i="14"/>
  <c r="B278" i="14"/>
  <c r="C278" i="14"/>
  <c r="A278" i="14"/>
  <c r="E458" i="14"/>
  <c r="F458" i="14"/>
  <c r="G458" i="14"/>
  <c r="F457" i="14"/>
  <c r="G457" i="14"/>
  <c r="E457" i="14"/>
  <c r="A458" i="14"/>
  <c r="B458" i="14"/>
  <c r="C458" i="14"/>
  <c r="B457" i="14"/>
  <c r="C457" i="14"/>
  <c r="A457" i="14"/>
  <c r="A22" i="9"/>
  <c r="E342" i="14"/>
  <c r="B342" i="14"/>
  <c r="C342" i="14"/>
  <c r="A342" i="14"/>
  <c r="E394" i="14"/>
  <c r="F394" i="14"/>
  <c r="G394" i="14"/>
  <c r="F393" i="14"/>
  <c r="G393" i="14"/>
  <c r="E393" i="14"/>
  <c r="A394" i="14"/>
  <c r="B394" i="14"/>
  <c r="C394" i="14"/>
  <c r="B393" i="14"/>
  <c r="C393" i="14"/>
  <c r="A393" i="14"/>
  <c r="E237" i="14"/>
  <c r="F237" i="14"/>
  <c r="G237" i="14"/>
  <c r="E238" i="14"/>
  <c r="F238" i="14"/>
  <c r="G238" i="14"/>
  <c r="F236" i="14"/>
  <c r="G236" i="14"/>
  <c r="E236" i="14"/>
  <c r="A237" i="14"/>
  <c r="B237" i="14"/>
  <c r="C237" i="14"/>
  <c r="A238" i="14"/>
  <c r="B238" i="14"/>
  <c r="C238" i="14"/>
  <c r="B236" i="14"/>
  <c r="C236" i="14"/>
  <c r="A236" i="14"/>
  <c r="F466" i="14"/>
  <c r="G466" i="14"/>
  <c r="E466" i="14"/>
  <c r="B466" i="14"/>
  <c r="C466" i="14"/>
  <c r="A466" i="14"/>
  <c r="A462" i="14"/>
  <c r="A67" i="9" s="1"/>
  <c r="F368" i="14"/>
  <c r="G368" i="14"/>
  <c r="E368" i="14"/>
  <c r="B368" i="14"/>
  <c r="C368" i="14"/>
  <c r="A368" i="14"/>
  <c r="G418" i="14"/>
  <c r="F418" i="14"/>
  <c r="E418" i="14"/>
  <c r="B418" i="14"/>
  <c r="C418" i="14"/>
  <c r="A418" i="14"/>
  <c r="F417" i="14"/>
  <c r="G417" i="14"/>
  <c r="E417" i="14"/>
  <c r="B417" i="14"/>
  <c r="C417" i="14"/>
  <c r="A417" i="14"/>
  <c r="H252" i="17"/>
  <c r="H253" i="17"/>
  <c r="H260" i="14" s="1"/>
  <c r="H254" i="17"/>
  <c r="H261" i="14" s="1"/>
  <c r="H255" i="17"/>
  <c r="H262" i="14" s="1"/>
  <c r="H258" i="17"/>
  <c r="H265" i="14" s="1"/>
  <c r="H259" i="17"/>
  <c r="H266" i="14" s="1"/>
  <c r="H260" i="17"/>
  <c r="H267" i="14" s="1"/>
  <c r="H261" i="17"/>
  <c r="H268" i="14" s="1"/>
  <c r="H262" i="17"/>
  <c r="H269" i="14" s="1"/>
  <c r="H263" i="17"/>
  <c r="H270" i="14" s="1"/>
  <c r="H265" i="17"/>
  <c r="H266" i="17"/>
  <c r="H209" i="14" s="1"/>
  <c r="H267" i="17"/>
  <c r="H268" i="17"/>
  <c r="H433" i="14" s="1"/>
  <c r="H269" i="17"/>
  <c r="H270" i="17"/>
  <c r="H384" i="14" s="1"/>
  <c r="H271" i="17"/>
  <c r="H271" i="14" s="1"/>
  <c r="H272" i="17"/>
  <c r="H272" i="14" s="1"/>
  <c r="H273" i="17"/>
  <c r="H273" i="14" s="1"/>
  <c r="H274" i="17"/>
  <c r="H274" i="14" s="1"/>
  <c r="H275" i="17"/>
  <c r="H276" i="17"/>
  <c r="H43" i="14" s="1"/>
  <c r="H278" i="17"/>
  <c r="H280" i="17"/>
  <c r="C304" i="2" l="1"/>
  <c r="C306" i="2"/>
  <c r="L290" i="14"/>
  <c r="H208" i="14"/>
  <c r="C305" i="2"/>
  <c r="H42" i="14"/>
  <c r="H44" i="14" s="1"/>
  <c r="C308" i="2"/>
  <c r="H432" i="14"/>
  <c r="H259" i="14"/>
  <c r="H383" i="14"/>
  <c r="H385" i="14" s="1"/>
  <c r="C307" i="2"/>
  <c r="H437" i="14"/>
  <c r="H435" i="14"/>
  <c r="H281" i="17"/>
  <c r="H298" i="17" l="1"/>
  <c r="H119" i="14" s="1"/>
  <c r="H299" i="17"/>
  <c r="H396" i="14" s="1"/>
  <c r="H300" i="17"/>
  <c r="C339" i="2" s="1"/>
  <c r="H285" i="17"/>
  <c r="H134" i="14" s="1"/>
  <c r="H286" i="17"/>
  <c r="H287" i="17"/>
  <c r="H136" i="14" s="1"/>
  <c r="H288" i="17"/>
  <c r="H289" i="17"/>
  <c r="C333" i="2" s="1"/>
  <c r="H290" i="17"/>
  <c r="H291" i="17"/>
  <c r="H292" i="17"/>
  <c r="H295" i="17"/>
  <c r="H296" i="17"/>
  <c r="H297" i="17"/>
  <c r="H284" i="17"/>
  <c r="H302" i="17" l="1"/>
  <c r="H135" i="14"/>
  <c r="H133" i="14"/>
  <c r="C331" i="2"/>
  <c r="H118" i="14"/>
  <c r="C336" i="2"/>
  <c r="C334" i="2"/>
  <c r="H50" i="14"/>
  <c r="H52" i="14" s="1"/>
  <c r="C332" i="2"/>
  <c r="H233" i="14"/>
  <c r="C337" i="2"/>
  <c r="H164" i="14"/>
  <c r="C335" i="2"/>
  <c r="H204" i="14"/>
  <c r="H14" i="14"/>
  <c r="H15" i="14"/>
  <c r="H13" i="14"/>
  <c r="H339" i="14"/>
  <c r="H208" i="17"/>
  <c r="H209" i="17"/>
  <c r="H154" i="14" s="1"/>
  <c r="H211" i="17"/>
  <c r="H212" i="17"/>
  <c r="H157" i="14" s="1"/>
  <c r="H213" i="17"/>
  <c r="H214" i="17"/>
  <c r="H158" i="14" s="1"/>
  <c r="H216" i="17"/>
  <c r="H28" i="14"/>
  <c r="H218" i="17"/>
  <c r="H219" i="17"/>
  <c r="H220" i="17"/>
  <c r="H288" i="14" s="1"/>
  <c r="H207" i="17"/>
  <c r="H227" i="17"/>
  <c r="H57" i="14" s="1"/>
  <c r="H230" i="17"/>
  <c r="H232" i="17"/>
  <c r="H62" i="14" s="1"/>
  <c r="H233" i="17"/>
  <c r="H234" i="17"/>
  <c r="H71" i="14" s="1"/>
  <c r="H235" i="17"/>
  <c r="H72" i="14" s="1"/>
  <c r="H236" i="17"/>
  <c r="H238" i="17"/>
  <c r="H10" i="14" s="1"/>
  <c r="H239" i="17"/>
  <c r="H283" i="14" s="1"/>
  <c r="H240" i="17"/>
  <c r="H73" i="14" s="1"/>
  <c r="H241" i="17"/>
  <c r="H243" i="17"/>
  <c r="H244" i="17"/>
  <c r="H245" i="17"/>
  <c r="H186" i="14" s="1"/>
  <c r="H248" i="17"/>
  <c r="H226" i="17"/>
  <c r="H223" i="17" l="1"/>
  <c r="H156" i="14"/>
  <c r="C249" i="2"/>
  <c r="K213" i="17"/>
  <c r="K195" i="14" s="1"/>
  <c r="I213" i="17"/>
  <c r="H60" i="14"/>
  <c r="H287" i="14"/>
  <c r="H153" i="14"/>
  <c r="C226" i="2"/>
  <c r="H47" i="14"/>
  <c r="C255" i="2"/>
  <c r="H185" i="14"/>
  <c r="C254" i="2"/>
  <c r="H371" i="14"/>
  <c r="C253" i="2"/>
  <c r="C252" i="2"/>
  <c r="H282" i="14"/>
  <c r="C251" i="2"/>
  <c r="H70" i="14"/>
  <c r="H75" i="14" s="1"/>
  <c r="C250" i="2"/>
  <c r="H56" i="14"/>
  <c r="H63" i="14"/>
  <c r="C228" i="2"/>
  <c r="H286" i="14"/>
  <c r="C230" i="2"/>
  <c r="H195" i="14"/>
  <c r="C227" i="2"/>
  <c r="I294" i="17"/>
  <c r="K294" i="17"/>
  <c r="H152" i="14"/>
  <c r="H149" i="17"/>
  <c r="H150" i="17"/>
  <c r="H151" i="17"/>
  <c r="H448" i="14" s="1"/>
  <c r="H152" i="17"/>
  <c r="H449" i="14" s="1"/>
  <c r="H153" i="17"/>
  <c r="H154" i="17"/>
  <c r="H155" i="17"/>
  <c r="H156" i="17"/>
  <c r="H157" i="17"/>
  <c r="H314" i="14" s="1"/>
  <c r="H158" i="17"/>
  <c r="H159" i="17"/>
  <c r="H160" i="17"/>
  <c r="H67" i="14" s="1"/>
  <c r="H161" i="17"/>
  <c r="H316" i="14" s="1"/>
  <c r="H162" i="17"/>
  <c r="H163" i="17"/>
  <c r="H164" i="17"/>
  <c r="H412" i="14" s="1"/>
  <c r="H165" i="17"/>
  <c r="H166" i="17"/>
  <c r="H34" i="14" s="1"/>
  <c r="H167" i="17"/>
  <c r="H168" i="17"/>
  <c r="H112" i="14" s="1"/>
  <c r="H171" i="17"/>
  <c r="H179" i="14" s="1"/>
  <c r="H172" i="17"/>
  <c r="H180" i="14" s="1"/>
  <c r="H173" i="17"/>
  <c r="H181" i="14" s="1"/>
  <c r="H174" i="17"/>
  <c r="H318" i="14" s="1"/>
  <c r="H175" i="17"/>
  <c r="H319" i="14" s="1"/>
  <c r="H176" i="17"/>
  <c r="H320" i="14" s="1"/>
  <c r="H177" i="17"/>
  <c r="H321" i="14" s="1"/>
  <c r="H178" i="17"/>
  <c r="H179" i="17"/>
  <c r="H323" i="14" s="1"/>
  <c r="H180" i="17"/>
  <c r="H324" i="14" s="1"/>
  <c r="H181" i="17"/>
  <c r="H325" i="14" s="1"/>
  <c r="H182" i="17"/>
  <c r="H326" i="14" s="1"/>
  <c r="H183" i="17"/>
  <c r="H450" i="14" s="1"/>
  <c r="H184" i="17"/>
  <c r="H185" i="17"/>
  <c r="H327" i="14" s="1"/>
  <c r="H186" i="17"/>
  <c r="H328" i="14" s="1"/>
  <c r="H187" i="17"/>
  <c r="H329" i="14" s="1"/>
  <c r="H188" i="17"/>
  <c r="H330" i="14" s="1"/>
  <c r="H189" i="17"/>
  <c r="H190" i="17"/>
  <c r="H191" i="17"/>
  <c r="H183" i="14" s="1"/>
  <c r="H192" i="17"/>
  <c r="H451" i="14" s="1"/>
  <c r="H193" i="17"/>
  <c r="H452" i="14" s="1"/>
  <c r="H194" i="17"/>
  <c r="H413" i="14" s="1"/>
  <c r="H195" i="17"/>
  <c r="H196" i="17"/>
  <c r="H114" i="14" s="1"/>
  <c r="H197" i="17"/>
  <c r="H331" i="14" s="1"/>
  <c r="H198" i="17"/>
  <c r="H199" i="17"/>
  <c r="H453" i="14" s="1"/>
  <c r="H200" i="17"/>
  <c r="H201" i="17"/>
  <c r="H414" i="14" s="1"/>
  <c r="H202" i="17"/>
  <c r="H203" i="17"/>
  <c r="C191" i="2" l="1"/>
  <c r="H322" i="14"/>
  <c r="C193" i="2"/>
  <c r="H113" i="14"/>
  <c r="C197" i="2"/>
  <c r="H182" i="14"/>
  <c r="C192" i="2"/>
  <c r="C257" i="2"/>
  <c r="C232" i="2"/>
  <c r="D227" i="2"/>
  <c r="I195" i="14"/>
  <c r="J294" i="17"/>
  <c r="L294" i="17"/>
  <c r="H184" i="14"/>
  <c r="H111" i="14"/>
  <c r="H66" i="14"/>
  <c r="H68" i="14" s="1"/>
  <c r="C194" i="2"/>
  <c r="H177" i="14"/>
  <c r="H411" i="14"/>
  <c r="C195" i="2"/>
  <c r="H312" i="14"/>
  <c r="H33" i="14"/>
  <c r="C196" i="2"/>
  <c r="H446" i="14"/>
  <c r="K158" i="17"/>
  <c r="K315" i="14" s="1"/>
  <c r="H315" i="14"/>
  <c r="I150" i="17"/>
  <c r="H447" i="14"/>
  <c r="I156" i="17"/>
  <c r="H313" i="14"/>
  <c r="K162" i="17"/>
  <c r="K317" i="14" s="1"/>
  <c r="H317" i="14"/>
  <c r="I154" i="17"/>
  <c r="H178" i="14"/>
  <c r="H204" i="17"/>
  <c r="I162" i="17"/>
  <c r="I166" i="17"/>
  <c r="I34" i="14" s="1"/>
  <c r="I160" i="17"/>
  <c r="K156" i="17"/>
  <c r="I164" i="17"/>
  <c r="K164" i="17"/>
  <c r="K412" i="14" s="1"/>
  <c r="K150" i="17"/>
  <c r="K154" i="17"/>
  <c r="K160" i="17"/>
  <c r="K67" i="14" s="1"/>
  <c r="I158" i="17"/>
  <c r="K152" i="17"/>
  <c r="K449" i="14" s="1"/>
  <c r="I152" i="17"/>
  <c r="H105" i="17"/>
  <c r="H107" i="17"/>
  <c r="H112" i="17"/>
  <c r="H113" i="17"/>
  <c r="H79" i="14" s="1"/>
  <c r="H114" i="17"/>
  <c r="C162" i="2" s="1"/>
  <c r="H125" i="17"/>
  <c r="H306" i="14" s="1"/>
  <c r="H115" i="17"/>
  <c r="H116" i="17"/>
  <c r="H298" i="14" s="1"/>
  <c r="H118" i="17"/>
  <c r="H300" i="14" s="1"/>
  <c r="H119" i="17"/>
  <c r="H301" i="14" s="1"/>
  <c r="H120" i="17"/>
  <c r="H302" i="14" s="1"/>
  <c r="H121" i="17"/>
  <c r="H303" i="14" s="1"/>
  <c r="H122" i="17"/>
  <c r="H304" i="14" s="1"/>
  <c r="H123" i="17"/>
  <c r="H305" i="14" s="1"/>
  <c r="H130" i="17"/>
  <c r="H131" i="17"/>
  <c r="H225" i="14" s="1"/>
  <c r="H132" i="17"/>
  <c r="H133" i="17"/>
  <c r="H151" i="14" s="1"/>
  <c r="H134" i="17"/>
  <c r="H135" i="17"/>
  <c r="H335" i="14" s="1"/>
  <c r="H136" i="17"/>
  <c r="H226" i="14" s="1"/>
  <c r="H137" i="17"/>
  <c r="H227" i="14" s="1"/>
  <c r="H138" i="17"/>
  <c r="H139" i="17"/>
  <c r="H105" i="14" s="1"/>
  <c r="H141" i="17"/>
  <c r="H142" i="17"/>
  <c r="H176" i="14" s="1"/>
  <c r="H143" i="17"/>
  <c r="H144" i="17"/>
  <c r="H141" i="14" s="1"/>
  <c r="H145" i="17"/>
  <c r="H160" i="14" s="1"/>
  <c r="H79" i="17"/>
  <c r="H80" i="17"/>
  <c r="H422" i="14" s="1"/>
  <c r="H82" i="17"/>
  <c r="H83" i="17"/>
  <c r="H22" i="14" s="1"/>
  <c r="H84" i="17"/>
  <c r="H85" i="17"/>
  <c r="H201" i="14" s="1"/>
  <c r="H86" i="17"/>
  <c r="H87" i="17"/>
  <c r="H130" i="14" s="1"/>
  <c r="H88" i="17"/>
  <c r="H89" i="17"/>
  <c r="H90" i="17"/>
  <c r="H294" i="14" s="1"/>
  <c r="H91" i="17"/>
  <c r="H295" i="14" s="1"/>
  <c r="H92" i="17"/>
  <c r="H296" i="14" s="1"/>
  <c r="H93" i="17"/>
  <c r="H94" i="17"/>
  <c r="H55" i="14" s="1"/>
  <c r="H95" i="17"/>
  <c r="H11" i="14" s="1"/>
  <c r="H96" i="17"/>
  <c r="H12" i="14" s="1"/>
  <c r="H97" i="17"/>
  <c r="H8" i="14" s="1"/>
  <c r="H98" i="17"/>
  <c r="H9" i="14" s="1"/>
  <c r="H100" i="17"/>
  <c r="H101" i="17"/>
  <c r="H174" i="14" s="1"/>
  <c r="C200" i="2" l="1"/>
  <c r="C160" i="2"/>
  <c r="C163" i="2"/>
  <c r="H426" i="14"/>
  <c r="H454" i="14"/>
  <c r="C167" i="2"/>
  <c r="H221" i="14"/>
  <c r="H78" i="14"/>
  <c r="C161" i="2"/>
  <c r="H224" i="14"/>
  <c r="H228" i="14" s="1"/>
  <c r="C164" i="2"/>
  <c r="H334" i="14"/>
  <c r="C166" i="2"/>
  <c r="H150" i="14"/>
  <c r="H161" i="14" s="1"/>
  <c r="C165" i="2"/>
  <c r="H175" i="14"/>
  <c r="C168" i="2"/>
  <c r="H104" i="14"/>
  <c r="H297" i="14"/>
  <c r="H140" i="14"/>
  <c r="H142" i="14" s="1"/>
  <c r="C169" i="2"/>
  <c r="H129" i="14"/>
  <c r="C124" i="2"/>
  <c r="H200" i="14"/>
  <c r="C123" i="2"/>
  <c r="H173" i="14"/>
  <c r="C128" i="2"/>
  <c r="H21" i="14"/>
  <c r="C122" i="2"/>
  <c r="H421" i="14"/>
  <c r="C121" i="2"/>
  <c r="H54" i="14"/>
  <c r="H64" i="14" s="1"/>
  <c r="C127" i="2"/>
  <c r="H293" i="14"/>
  <c r="C126" i="2"/>
  <c r="H7" i="14"/>
  <c r="H18" i="14" s="1"/>
  <c r="C125" i="2"/>
  <c r="H424" i="14"/>
  <c r="J158" i="17"/>
  <c r="J315" i="14" s="1"/>
  <c r="I315" i="14"/>
  <c r="J154" i="17"/>
  <c r="J178" i="14" s="1"/>
  <c r="I178" i="14"/>
  <c r="J160" i="17"/>
  <c r="J67" i="14" s="1"/>
  <c r="I67" i="14"/>
  <c r="J156" i="17"/>
  <c r="J313" i="14" s="1"/>
  <c r="I313" i="14"/>
  <c r="J162" i="17"/>
  <c r="J317" i="14" s="1"/>
  <c r="I317" i="14"/>
  <c r="J150" i="17"/>
  <c r="J447" i="14" s="1"/>
  <c r="I447" i="14"/>
  <c r="L152" i="17"/>
  <c r="L449" i="14" s="1"/>
  <c r="I449" i="14"/>
  <c r="L154" i="17"/>
  <c r="L178" i="14" s="1"/>
  <c r="K178" i="14"/>
  <c r="L150" i="17"/>
  <c r="L447" i="14" s="1"/>
  <c r="K447" i="14"/>
  <c r="L156" i="17"/>
  <c r="L313" i="14" s="1"/>
  <c r="K313" i="14"/>
  <c r="J164" i="17"/>
  <c r="J412" i="14" s="1"/>
  <c r="I412" i="14"/>
  <c r="J152" i="17"/>
  <c r="J449" i="14" s="1"/>
  <c r="L160" i="17"/>
  <c r="L67" i="14" s="1"/>
  <c r="L162" i="17"/>
  <c r="L317" i="14" s="1"/>
  <c r="J166" i="17"/>
  <c r="J34" i="14" s="1"/>
  <c r="K166" i="17"/>
  <c r="L164" i="17"/>
  <c r="L412" i="14" s="1"/>
  <c r="L158" i="17"/>
  <c r="L315" i="14" s="1"/>
  <c r="H146" i="17"/>
  <c r="H102" i="17"/>
  <c r="H379" i="14"/>
  <c r="H361" i="14"/>
  <c r="H239" i="14"/>
  <c r="H240" i="14"/>
  <c r="H363" i="14"/>
  <c r="H87" i="14"/>
  <c r="I149" i="17"/>
  <c r="I155" i="17"/>
  <c r="I157" i="17"/>
  <c r="I314" i="14" s="1"/>
  <c r="I159" i="17"/>
  <c r="I161" i="17"/>
  <c r="I316" i="14" s="1"/>
  <c r="I163" i="17"/>
  <c r="I165" i="17"/>
  <c r="I167" i="17"/>
  <c r="K168" i="17"/>
  <c r="K112" i="14" s="1"/>
  <c r="I105" i="17"/>
  <c r="I107" i="17"/>
  <c r="I426" i="14" s="1"/>
  <c r="D160" i="2" l="1"/>
  <c r="H249" i="17"/>
  <c r="H332" i="14"/>
  <c r="I111" i="14"/>
  <c r="I33" i="14"/>
  <c r="I411" i="14"/>
  <c r="I415" i="14" s="1"/>
  <c r="I66" i="14"/>
  <c r="I68" i="14" s="1"/>
  <c r="D194" i="2"/>
  <c r="I312" i="14"/>
  <c r="I446" i="14"/>
  <c r="C133" i="2"/>
  <c r="I424" i="14"/>
  <c r="H86" i="14"/>
  <c r="H89" i="14" s="1"/>
  <c r="C369" i="2"/>
  <c r="H362" i="14"/>
  <c r="H360" i="14"/>
  <c r="L166" i="17"/>
  <c r="L34" i="14" s="1"/>
  <c r="K34" i="14"/>
  <c r="I99" i="14"/>
  <c r="H99" i="14"/>
  <c r="I113" i="17"/>
  <c r="I79" i="14" s="1"/>
  <c r="H243" i="14"/>
  <c r="I317" i="17"/>
  <c r="K307" i="17"/>
  <c r="K360" i="14" s="1"/>
  <c r="I308" i="17"/>
  <c r="I361" i="14" s="1"/>
  <c r="K308" i="17"/>
  <c r="K361" i="14" s="1"/>
  <c r="I307" i="17"/>
  <c r="K167" i="17"/>
  <c r="J167" i="17"/>
  <c r="K112" i="17"/>
  <c r="K78" i="14" s="1"/>
  <c r="J149" i="17"/>
  <c r="K165" i="17"/>
  <c r="K107" i="17"/>
  <c r="K163" i="17"/>
  <c r="K105" i="17"/>
  <c r="K161" i="17"/>
  <c r="I171" i="17"/>
  <c r="I168" i="17"/>
  <c r="I153" i="17"/>
  <c r="I151" i="17"/>
  <c r="J107" i="17"/>
  <c r="J426" i="14" s="1"/>
  <c r="J165" i="17"/>
  <c r="J163" i="17"/>
  <c r="J161" i="17"/>
  <c r="J316" i="14" s="1"/>
  <c r="J105" i="17"/>
  <c r="K157" i="17"/>
  <c r="K155" i="17"/>
  <c r="J159" i="17"/>
  <c r="J157" i="17"/>
  <c r="J314" i="14" s="1"/>
  <c r="K151" i="17"/>
  <c r="K448" i="14" s="1"/>
  <c r="K159" i="17"/>
  <c r="K153" i="17"/>
  <c r="K177" i="14" s="1"/>
  <c r="J155" i="17"/>
  <c r="K149" i="17"/>
  <c r="D286" i="2" l="1"/>
  <c r="D288" i="2" s="1"/>
  <c r="I320" i="17"/>
  <c r="E160" i="2"/>
  <c r="J33" i="14"/>
  <c r="J111" i="14"/>
  <c r="J411" i="14"/>
  <c r="J415" i="14" s="1"/>
  <c r="J446" i="14"/>
  <c r="J66" i="14"/>
  <c r="J68" i="14" s="1"/>
  <c r="E194" i="2"/>
  <c r="J312" i="14"/>
  <c r="J424" i="14"/>
  <c r="I360" i="14"/>
  <c r="J99" i="14"/>
  <c r="L105" i="17"/>
  <c r="L424" i="14" s="1"/>
  <c r="K424" i="14"/>
  <c r="L165" i="17"/>
  <c r="L33" i="14" s="1"/>
  <c r="K33" i="14"/>
  <c r="L157" i="17"/>
  <c r="L314" i="14" s="1"/>
  <c r="K314" i="14"/>
  <c r="I475" i="14"/>
  <c r="L159" i="17"/>
  <c r="L66" i="14" s="1"/>
  <c r="L68" i="14" s="1"/>
  <c r="B12" i="9" s="1"/>
  <c r="N12" i="9" s="1"/>
  <c r="K66" i="14"/>
  <c r="K68" i="14" s="1"/>
  <c r="L161" i="17"/>
  <c r="L316" i="14" s="1"/>
  <c r="K316" i="14"/>
  <c r="J317" i="17"/>
  <c r="I379" i="14"/>
  <c r="L163" i="17"/>
  <c r="L411" i="14" s="1"/>
  <c r="L415" i="14" s="1"/>
  <c r="K411" i="14"/>
  <c r="K415" i="14" s="1"/>
  <c r="L155" i="17"/>
  <c r="L312" i="14" s="1"/>
  <c r="K312" i="14"/>
  <c r="L99" i="14"/>
  <c r="K99" i="14"/>
  <c r="L167" i="17"/>
  <c r="L111" i="14" s="1"/>
  <c r="K111" i="14"/>
  <c r="J151" i="17"/>
  <c r="J448" i="14" s="1"/>
  <c r="I448" i="14"/>
  <c r="L149" i="17"/>
  <c r="L446" i="14" s="1"/>
  <c r="K446" i="14"/>
  <c r="J153" i="17"/>
  <c r="I177" i="14"/>
  <c r="J308" i="17"/>
  <c r="J361" i="14" s="1"/>
  <c r="L107" i="17"/>
  <c r="L426" i="14" s="1"/>
  <c r="K426" i="14"/>
  <c r="J168" i="17"/>
  <c r="J112" i="14" s="1"/>
  <c r="I112" i="14"/>
  <c r="J171" i="17"/>
  <c r="J179" i="14" s="1"/>
  <c r="I179" i="14"/>
  <c r="K171" i="17"/>
  <c r="J113" i="17"/>
  <c r="J79" i="14" s="1"/>
  <c r="I112" i="17"/>
  <c r="D161" i="2" s="1"/>
  <c r="K113" i="17"/>
  <c r="L317" i="17"/>
  <c r="L307" i="17"/>
  <c r="L360" i="14" s="1"/>
  <c r="I305" i="17"/>
  <c r="K305" i="17"/>
  <c r="K239" i="14" s="1"/>
  <c r="L308" i="17"/>
  <c r="L361" i="14" s="1"/>
  <c r="J307" i="17"/>
  <c r="L153" i="17"/>
  <c r="L177" i="14" s="1"/>
  <c r="L168" i="17"/>
  <c r="L112" i="14" s="1"/>
  <c r="L151" i="17"/>
  <c r="L448" i="14" s="1"/>
  <c r="E286" i="2" l="1"/>
  <c r="E288" i="2" s="1"/>
  <c r="J379" i="14"/>
  <c r="L379" i="14"/>
  <c r="I239" i="14"/>
  <c r="J177" i="14"/>
  <c r="J360" i="14"/>
  <c r="L318" i="17"/>
  <c r="L320" i="17" s="1"/>
  <c r="I243" i="14"/>
  <c r="L113" i="17"/>
  <c r="L79" i="14" s="1"/>
  <c r="K79" i="14"/>
  <c r="L171" i="17"/>
  <c r="L179" i="14" s="1"/>
  <c r="K179" i="14"/>
  <c r="J112" i="17"/>
  <c r="E161" i="2" s="1"/>
  <c r="I78" i="14"/>
  <c r="J305" i="17"/>
  <c r="L112" i="17"/>
  <c r="L78" i="14" s="1"/>
  <c r="I172" i="17"/>
  <c r="K172" i="17"/>
  <c r="K180" i="14" s="1"/>
  <c r="K114" i="17"/>
  <c r="K221" i="14" s="1"/>
  <c r="I114" i="17"/>
  <c r="D162" i="2" s="1"/>
  <c r="J318" i="17"/>
  <c r="J320" i="17" s="1"/>
  <c r="L305" i="17"/>
  <c r="L239" i="14" s="1"/>
  <c r="I314" i="17"/>
  <c r="J314" i="17" s="1"/>
  <c r="K314" i="17"/>
  <c r="I312" i="17"/>
  <c r="K312" i="17"/>
  <c r="K87" i="14" s="1"/>
  <c r="I311" i="17"/>
  <c r="K311" i="17"/>
  <c r="K86" i="14" s="1"/>
  <c r="I310" i="17"/>
  <c r="K310" i="17"/>
  <c r="K363" i="14" s="1"/>
  <c r="I309" i="17"/>
  <c r="K309" i="17"/>
  <c r="K362" i="14" s="1"/>
  <c r="I306" i="17"/>
  <c r="I240" i="14" s="1"/>
  <c r="K306" i="17"/>
  <c r="K240" i="14" s="1"/>
  <c r="J239" i="14" l="1"/>
  <c r="J78" i="14"/>
  <c r="I362" i="14"/>
  <c r="K89" i="14"/>
  <c r="L314" i="17"/>
  <c r="J310" i="17"/>
  <c r="J363" i="14" s="1"/>
  <c r="I363" i="14"/>
  <c r="J311" i="17"/>
  <c r="I86" i="14"/>
  <c r="J312" i="17"/>
  <c r="J87" i="14" s="1"/>
  <c r="I87" i="14"/>
  <c r="J306" i="17"/>
  <c r="J240" i="14" s="1"/>
  <c r="L243" i="14"/>
  <c r="J243" i="14"/>
  <c r="J114" i="17"/>
  <c r="E162" i="2" s="1"/>
  <c r="I221" i="14"/>
  <c r="J172" i="17"/>
  <c r="I180" i="14"/>
  <c r="L172" i="17"/>
  <c r="L180" i="14" s="1"/>
  <c r="K173" i="17"/>
  <c r="K181" i="14" s="1"/>
  <c r="I173" i="17"/>
  <c r="L114" i="17"/>
  <c r="L221" i="14" s="1"/>
  <c r="L310" i="17"/>
  <c r="L363" i="14" s="1"/>
  <c r="L312" i="17"/>
  <c r="L87" i="14" s="1"/>
  <c r="L309" i="17"/>
  <c r="L362" i="14" s="1"/>
  <c r="I125" i="17"/>
  <c r="I306" i="14" s="1"/>
  <c r="K125" i="17"/>
  <c r="K306" i="14" s="1"/>
  <c r="J309" i="17"/>
  <c r="L306" i="17"/>
  <c r="L240" i="14" s="1"/>
  <c r="L311" i="17"/>
  <c r="L86" i="14" s="1"/>
  <c r="J125" i="17" l="1"/>
  <c r="J306" i="14" s="1"/>
  <c r="J180" i="14"/>
  <c r="J221" i="14"/>
  <c r="J362" i="14"/>
  <c r="J86" i="14"/>
  <c r="J89" i="14" s="1"/>
  <c r="L89" i="14"/>
  <c r="I89" i="14"/>
  <c r="J173" i="17"/>
  <c r="J181" i="14" s="1"/>
  <c r="I181" i="14"/>
  <c r="L173" i="17"/>
  <c r="L181" i="14" s="1"/>
  <c r="K174" i="17"/>
  <c r="K318" i="14" s="1"/>
  <c r="I174" i="17"/>
  <c r="L125" i="17"/>
  <c r="L306" i="14" s="1"/>
  <c r="I116" i="17"/>
  <c r="K116" i="17"/>
  <c r="K298" i="14" s="1"/>
  <c r="I115" i="17"/>
  <c r="K115" i="17"/>
  <c r="K297" i="14" s="1"/>
  <c r="J174" i="17" l="1"/>
  <c r="I318" i="14"/>
  <c r="J115" i="17"/>
  <c r="I297" i="14"/>
  <c r="J116" i="17"/>
  <c r="J298" i="14" s="1"/>
  <c r="I298" i="14"/>
  <c r="L174" i="17"/>
  <c r="L318" i="14" s="1"/>
  <c r="K175" i="17"/>
  <c r="K319" i="14" s="1"/>
  <c r="I175" i="17"/>
  <c r="L116" i="17"/>
  <c r="L298" i="14" s="1"/>
  <c r="L115" i="17"/>
  <c r="L297" i="14" s="1"/>
  <c r="I119" i="17"/>
  <c r="K119" i="17"/>
  <c r="K301" i="14" s="1"/>
  <c r="I118" i="17"/>
  <c r="K118" i="17"/>
  <c r="K300" i="14" s="1"/>
  <c r="L175" i="17" l="1"/>
  <c r="L319" i="14" s="1"/>
  <c r="J318" i="14"/>
  <c r="J297" i="14"/>
  <c r="J119" i="17"/>
  <c r="J301" i="14" s="1"/>
  <c r="I301" i="14"/>
  <c r="J118" i="17"/>
  <c r="J300" i="14" s="1"/>
  <c r="I300" i="14"/>
  <c r="J175" i="17"/>
  <c r="J319" i="14" s="1"/>
  <c r="I319" i="14"/>
  <c r="I176" i="17"/>
  <c r="K176" i="17"/>
  <c r="K320" i="14" s="1"/>
  <c r="L119" i="17"/>
  <c r="L301" i="14" s="1"/>
  <c r="L118" i="17"/>
  <c r="L300" i="14" s="1"/>
  <c r="I120" i="17"/>
  <c r="K120" i="17"/>
  <c r="K302" i="14" s="1"/>
  <c r="J120" i="17" l="1"/>
  <c r="J302" i="14" s="1"/>
  <c r="I302" i="14"/>
  <c r="J176" i="17"/>
  <c r="J320" i="14" s="1"/>
  <c r="I320" i="14"/>
  <c r="L176" i="17"/>
  <c r="L320" i="14" s="1"/>
  <c r="I177" i="17"/>
  <c r="K177" i="17"/>
  <c r="K321" i="14" s="1"/>
  <c r="L120" i="17"/>
  <c r="L302" i="14" s="1"/>
  <c r="I121" i="17"/>
  <c r="K121" i="17"/>
  <c r="L177" i="17" l="1"/>
  <c r="L321" i="14" s="1"/>
  <c r="L121" i="17"/>
  <c r="L303" i="14" s="1"/>
  <c r="K303" i="14"/>
  <c r="J121" i="17"/>
  <c r="I303" i="14"/>
  <c r="J177" i="17"/>
  <c r="J321" i="14" s="1"/>
  <c r="I321" i="14"/>
  <c r="K178" i="17"/>
  <c r="K322" i="14" s="1"/>
  <c r="I178" i="17"/>
  <c r="I122" i="17"/>
  <c r="K122" i="17"/>
  <c r="J303" i="14" l="1"/>
  <c r="L122" i="17"/>
  <c r="L304" i="14" s="1"/>
  <c r="K304" i="14"/>
  <c r="J122" i="17"/>
  <c r="J304" i="14" s="1"/>
  <c r="I304" i="14"/>
  <c r="J178" i="17"/>
  <c r="I322" i="14"/>
  <c r="I179" i="17"/>
  <c r="K179" i="17"/>
  <c r="K323" i="14" s="1"/>
  <c r="L178" i="17"/>
  <c r="L322" i="14" s="1"/>
  <c r="I123" i="17"/>
  <c r="D163" i="2" s="1"/>
  <c r="K123" i="17"/>
  <c r="K305" i="14" s="1"/>
  <c r="J322" i="14" l="1"/>
  <c r="J123" i="17"/>
  <c r="E163" i="2" s="1"/>
  <c r="I305" i="14"/>
  <c r="J179" i="17"/>
  <c r="J323" i="14" s="1"/>
  <c r="I323" i="14"/>
  <c r="L123" i="17"/>
  <c r="L305" i="14" s="1"/>
  <c r="L179" i="17"/>
  <c r="L323" i="14" s="1"/>
  <c r="I180" i="17"/>
  <c r="K180" i="17"/>
  <c r="I130" i="17"/>
  <c r="K130" i="17"/>
  <c r="K224" i="14" s="1"/>
  <c r="I324" i="14" l="1"/>
  <c r="J305" i="14"/>
  <c r="J180" i="17"/>
  <c r="J324" i="14" s="1"/>
  <c r="J130" i="17"/>
  <c r="I224" i="14"/>
  <c r="L180" i="17"/>
  <c r="L324" i="14" s="1"/>
  <c r="K324" i="14"/>
  <c r="I181" i="17"/>
  <c r="K181" i="17"/>
  <c r="L130" i="17"/>
  <c r="L224" i="14" s="1"/>
  <c r="I131" i="17"/>
  <c r="I225" i="14" s="1"/>
  <c r="K131" i="17"/>
  <c r="J224" i="14" l="1"/>
  <c r="J131" i="17"/>
  <c r="J225" i="14" s="1"/>
  <c r="J181" i="17"/>
  <c r="J325" i="14" s="1"/>
  <c r="I325" i="14"/>
  <c r="L131" i="17"/>
  <c r="L225" i="14" s="1"/>
  <c r="K225" i="14"/>
  <c r="L181" i="17"/>
  <c r="L325" i="14" s="1"/>
  <c r="K325" i="14"/>
  <c r="I182" i="17"/>
  <c r="I326" i="14" s="1"/>
  <c r="K182" i="17"/>
  <c r="I132" i="17"/>
  <c r="K132" i="17"/>
  <c r="J182" i="17" l="1"/>
  <c r="J326" i="14" s="1"/>
  <c r="L132" i="17"/>
  <c r="L150" i="14" s="1"/>
  <c r="K150" i="14"/>
  <c r="J132" i="17"/>
  <c r="I150" i="14"/>
  <c r="L182" i="17"/>
  <c r="L326" i="14" s="1"/>
  <c r="K326" i="14"/>
  <c r="I183" i="17"/>
  <c r="K183" i="17"/>
  <c r="I133" i="17"/>
  <c r="D165" i="2" s="1"/>
  <c r="K133" i="17"/>
  <c r="K151" i="14" s="1"/>
  <c r="I450" i="14" l="1"/>
  <c r="J150" i="14"/>
  <c r="L183" i="17"/>
  <c r="L450" i="14" s="1"/>
  <c r="K450" i="14"/>
  <c r="J133" i="17"/>
  <c r="J151" i="14" s="1"/>
  <c r="I151" i="14"/>
  <c r="J183" i="17"/>
  <c r="I184" i="17"/>
  <c r="K184" i="17"/>
  <c r="L133" i="17"/>
  <c r="L151" i="14" s="1"/>
  <c r="I134" i="17"/>
  <c r="J134" i="17" s="1"/>
  <c r="K134" i="17"/>
  <c r="E165" i="2" l="1"/>
  <c r="J184" i="17"/>
  <c r="J450" i="14"/>
  <c r="J334" i="14"/>
  <c r="I334" i="14"/>
  <c r="L184" i="17"/>
  <c r="L134" i="17"/>
  <c r="L334" i="14" s="1"/>
  <c r="K334" i="14"/>
  <c r="K185" i="17"/>
  <c r="K327" i="14" s="1"/>
  <c r="I185" i="17"/>
  <c r="I135" i="17"/>
  <c r="I335" i="14" s="1"/>
  <c r="K135" i="17"/>
  <c r="K335" i="14" s="1"/>
  <c r="I327" i="14" l="1"/>
  <c r="D166" i="2"/>
  <c r="J135" i="17"/>
  <c r="J185" i="17"/>
  <c r="L135" i="17"/>
  <c r="L335" i="14" s="1"/>
  <c r="L185" i="17"/>
  <c r="L327" i="14" s="1"/>
  <c r="K186" i="17"/>
  <c r="K328" i="14" s="1"/>
  <c r="I186" i="17"/>
  <c r="I136" i="17"/>
  <c r="K136" i="17"/>
  <c r="J327" i="14" l="1"/>
  <c r="J335" i="14"/>
  <c r="E166" i="2"/>
  <c r="I226" i="14"/>
  <c r="J136" i="17"/>
  <c r="J186" i="17"/>
  <c r="J328" i="14" s="1"/>
  <c r="I328" i="14"/>
  <c r="L136" i="17"/>
  <c r="L226" i="14" s="1"/>
  <c r="K226" i="14"/>
  <c r="L186" i="17"/>
  <c r="L328" i="14" s="1"/>
  <c r="K187" i="17"/>
  <c r="K329" i="14" s="1"/>
  <c r="I187" i="17"/>
  <c r="I137" i="17"/>
  <c r="D164" i="2" s="1"/>
  <c r="K137" i="17"/>
  <c r="K227" i="14" s="1"/>
  <c r="K228" i="14" l="1"/>
  <c r="J226" i="14"/>
  <c r="L187" i="17"/>
  <c r="L329" i="14" s="1"/>
  <c r="J137" i="17"/>
  <c r="J227" i="14" s="1"/>
  <c r="I227" i="14"/>
  <c r="I228" i="14" s="1"/>
  <c r="J187" i="17"/>
  <c r="J329" i="14" s="1"/>
  <c r="I329" i="14"/>
  <c r="I188" i="17"/>
  <c r="I330" i="14" s="1"/>
  <c r="K188" i="17"/>
  <c r="L137" i="17"/>
  <c r="L227" i="14" s="1"/>
  <c r="L228" i="14" s="1"/>
  <c r="I138" i="17"/>
  <c r="K138" i="17"/>
  <c r="J228" i="14" l="1"/>
  <c r="E164" i="2"/>
  <c r="I104" i="14"/>
  <c r="J188" i="17"/>
  <c r="J330" i="14" s="1"/>
  <c r="J138" i="17"/>
  <c r="L138" i="17"/>
  <c r="L104" i="14" s="1"/>
  <c r="K104" i="14"/>
  <c r="L188" i="17"/>
  <c r="L330" i="14" s="1"/>
  <c r="K330" i="14"/>
  <c r="K189" i="17"/>
  <c r="K113" i="14" s="1"/>
  <c r="I189" i="17"/>
  <c r="I139" i="17"/>
  <c r="D167" i="2" s="1"/>
  <c r="K139" i="17"/>
  <c r="K105" i="14" s="1"/>
  <c r="J104" i="14" l="1"/>
  <c r="J189" i="17"/>
  <c r="J113" i="14" s="1"/>
  <c r="I113" i="14"/>
  <c r="J139" i="17"/>
  <c r="J105" i="14" s="1"/>
  <c r="I105" i="14"/>
  <c r="L189" i="17"/>
  <c r="L113" i="14" s="1"/>
  <c r="K190" i="17"/>
  <c r="K182" i="14" s="1"/>
  <c r="I190" i="17"/>
  <c r="L139" i="17"/>
  <c r="L105" i="14" s="1"/>
  <c r="K141" i="17"/>
  <c r="K175" i="14" s="1"/>
  <c r="I141" i="17"/>
  <c r="I182" i="14" l="1"/>
  <c r="E167" i="2"/>
  <c r="L190" i="17"/>
  <c r="L182" i="14" s="1"/>
  <c r="I175" i="14"/>
  <c r="J190" i="17"/>
  <c r="L141" i="17"/>
  <c r="L175" i="14" s="1"/>
  <c r="K191" i="17"/>
  <c r="K183" i="14" s="1"/>
  <c r="I191" i="17"/>
  <c r="J141" i="17"/>
  <c r="K142" i="17"/>
  <c r="K176" i="14" s="1"/>
  <c r="I142" i="17"/>
  <c r="D168" i="2" s="1"/>
  <c r="J182" i="14" l="1"/>
  <c r="J175" i="14"/>
  <c r="L142" i="17"/>
  <c r="L176" i="14" s="1"/>
  <c r="I176" i="14"/>
  <c r="L191" i="17"/>
  <c r="L183" i="14" s="1"/>
  <c r="J191" i="17"/>
  <c r="J183" i="14" s="1"/>
  <c r="I183" i="14"/>
  <c r="I192" i="17"/>
  <c r="K192" i="17"/>
  <c r="J142" i="17"/>
  <c r="J176" i="14" s="1"/>
  <c r="I143" i="17"/>
  <c r="D169" i="2" s="1"/>
  <c r="K143" i="17"/>
  <c r="K140" i="14" s="1"/>
  <c r="E168" i="2" l="1"/>
  <c r="I451" i="14"/>
  <c r="J192" i="17"/>
  <c r="J143" i="17"/>
  <c r="I140" i="14"/>
  <c r="L192" i="17"/>
  <c r="L451" i="14" s="1"/>
  <c r="K451" i="14"/>
  <c r="I193" i="17"/>
  <c r="I452" i="14" s="1"/>
  <c r="K193" i="17"/>
  <c r="L143" i="17"/>
  <c r="L140" i="14" s="1"/>
  <c r="K144" i="17"/>
  <c r="K141" i="14" s="1"/>
  <c r="K142" i="14" s="1"/>
  <c r="I144" i="17"/>
  <c r="J451" i="14" l="1"/>
  <c r="J140" i="14"/>
  <c r="E169" i="2"/>
  <c r="J193" i="17"/>
  <c r="J452" i="14" s="1"/>
  <c r="J144" i="17"/>
  <c r="J141" i="14" s="1"/>
  <c r="I141" i="14"/>
  <c r="I142" i="14" s="1"/>
  <c r="L193" i="17"/>
  <c r="L452" i="14" s="1"/>
  <c r="K452" i="14"/>
  <c r="I194" i="17"/>
  <c r="K194" i="17"/>
  <c r="K413" i="14" s="1"/>
  <c r="L144" i="17"/>
  <c r="L141" i="14" s="1"/>
  <c r="L142" i="14" s="1"/>
  <c r="B25" i="9" s="1"/>
  <c r="N25" i="9" s="1"/>
  <c r="K145" i="17"/>
  <c r="K160" i="14" s="1"/>
  <c r="I145" i="17"/>
  <c r="J145" i="17" l="1"/>
  <c r="J160" i="14" s="1"/>
  <c r="I160" i="14"/>
  <c r="J142" i="14"/>
  <c r="L194" i="17"/>
  <c r="L413" i="14" s="1"/>
  <c r="J194" i="17"/>
  <c r="I413" i="14"/>
  <c r="I195" i="17"/>
  <c r="J195" i="17" s="1"/>
  <c r="K195" i="17"/>
  <c r="L145" i="17"/>
  <c r="L160" i="14" s="1"/>
  <c r="I146" i="17"/>
  <c r="J146" i="17" s="1"/>
  <c r="K146" i="17"/>
  <c r="J413" i="14" l="1"/>
  <c r="L146" i="17"/>
  <c r="L195" i="17"/>
  <c r="I196" i="17"/>
  <c r="J196" i="17" s="1"/>
  <c r="K196" i="17"/>
  <c r="J114" i="14" l="1"/>
  <c r="E197" i="2"/>
  <c r="I114" i="14"/>
  <c r="D197" i="2"/>
  <c r="L196" i="17"/>
  <c r="L114" i="14" s="1"/>
  <c r="K114" i="14"/>
  <c r="I197" i="17"/>
  <c r="D193" i="2" s="1"/>
  <c r="K197" i="17"/>
  <c r="I331" i="14" l="1"/>
  <c r="J197" i="17"/>
  <c r="E193" i="2" s="1"/>
  <c r="L197" i="17"/>
  <c r="L331" i="14" s="1"/>
  <c r="K331" i="14"/>
  <c r="I198" i="17"/>
  <c r="D192" i="2" s="1"/>
  <c r="K198" i="17"/>
  <c r="I184" i="14" l="1"/>
  <c r="J331" i="14"/>
  <c r="J198" i="17"/>
  <c r="E192" i="2" s="1"/>
  <c r="L198" i="17"/>
  <c r="L184" i="14" s="1"/>
  <c r="K184" i="14"/>
  <c r="I199" i="17"/>
  <c r="D191" i="2" s="1"/>
  <c r="K199" i="17"/>
  <c r="I453" i="14" l="1"/>
  <c r="I454" i="14" s="1"/>
  <c r="J184" i="14"/>
  <c r="J199" i="17"/>
  <c r="E191" i="2" s="1"/>
  <c r="L199" i="17"/>
  <c r="L453" i="14" s="1"/>
  <c r="L454" i="14" s="1"/>
  <c r="K453" i="14"/>
  <c r="K454" i="14" s="1"/>
  <c r="I200" i="17"/>
  <c r="J200" i="17" s="1"/>
  <c r="K200" i="17"/>
  <c r="B65" i="9" l="1"/>
  <c r="N65" i="9" s="1"/>
  <c r="J453" i="14"/>
  <c r="J454" i="14" s="1"/>
  <c r="L200" i="17"/>
  <c r="I201" i="17"/>
  <c r="D195" i="2" s="1"/>
  <c r="K201" i="17"/>
  <c r="L201" i="17" l="1"/>
  <c r="L414" i="14" s="1"/>
  <c r="K414" i="14"/>
  <c r="J201" i="17"/>
  <c r="I414" i="14"/>
  <c r="I202" i="17"/>
  <c r="K202" i="17"/>
  <c r="L202" i="17" l="1"/>
  <c r="J202" i="17"/>
  <c r="E196" i="2" s="1"/>
  <c r="D196" i="2"/>
  <c r="D200" i="2" s="1"/>
  <c r="J414" i="14"/>
  <c r="E195" i="2"/>
  <c r="E200" i="2" s="1"/>
  <c r="I203" i="17"/>
  <c r="K203" i="17"/>
  <c r="J203" i="17" l="1"/>
  <c r="L203" i="17"/>
  <c r="I204" i="17"/>
  <c r="J204" i="17" s="1"/>
  <c r="K204" i="17"/>
  <c r="L204" i="17" l="1"/>
  <c r="I207" i="17"/>
  <c r="K207" i="17"/>
  <c r="J207" i="17" l="1"/>
  <c r="K152" i="14"/>
  <c r="I152" i="14"/>
  <c r="I208" i="17"/>
  <c r="K208" i="17"/>
  <c r="L207" i="17"/>
  <c r="J152" i="14" l="1"/>
  <c r="L152" i="14"/>
  <c r="L208" i="17"/>
  <c r="L153" i="14" s="1"/>
  <c r="K153" i="14"/>
  <c r="J208" i="17"/>
  <c r="I153" i="14"/>
  <c r="I209" i="17"/>
  <c r="K209" i="17"/>
  <c r="J153" i="14" l="1"/>
  <c r="L209" i="17"/>
  <c r="L154" i="14" s="1"/>
  <c r="K154" i="14"/>
  <c r="J209" i="17"/>
  <c r="J154" i="14" s="1"/>
  <c r="I154" i="14"/>
  <c r="I211" i="17"/>
  <c r="K211" i="17"/>
  <c r="K156" i="14" s="1"/>
  <c r="J211" i="17" l="1"/>
  <c r="J156" i="14" s="1"/>
  <c r="I156" i="14"/>
  <c r="L211" i="17"/>
  <c r="L156" i="14" s="1"/>
  <c r="K212" i="17"/>
  <c r="K157" i="14" s="1"/>
  <c r="I212" i="17"/>
  <c r="J212" i="17" l="1"/>
  <c r="J157" i="14" s="1"/>
  <c r="I157" i="14"/>
  <c r="L212" i="17"/>
  <c r="L157" i="14" s="1"/>
  <c r="J213" i="17" l="1"/>
  <c r="E227" i="2" s="1"/>
  <c r="L213" i="17"/>
  <c r="L195" i="14" s="1"/>
  <c r="K214" i="17"/>
  <c r="K158" i="14" s="1"/>
  <c r="K161" i="14" s="1"/>
  <c r="I214" i="17"/>
  <c r="D226" i="2" s="1"/>
  <c r="J195" i="14" l="1"/>
  <c r="J214" i="17"/>
  <c r="E226" i="2" s="1"/>
  <c r="I158" i="14"/>
  <c r="I161" i="14" s="1"/>
  <c r="L214" i="17"/>
  <c r="L158" i="14" s="1"/>
  <c r="L161" i="14" s="1"/>
  <c r="I216" i="17"/>
  <c r="D228" i="2" s="1"/>
  <c r="K216" i="17"/>
  <c r="J158" i="14" l="1"/>
  <c r="J161" i="14" s="1"/>
  <c r="L216" i="17"/>
  <c r="L63" i="14" s="1"/>
  <c r="K63" i="14"/>
  <c r="J216" i="17"/>
  <c r="I63" i="14"/>
  <c r="K217" i="17"/>
  <c r="I217" i="17"/>
  <c r="D229" i="2" l="1"/>
  <c r="J63" i="14"/>
  <c r="E228" i="2"/>
  <c r="I25" i="14"/>
  <c r="I28" i="14" s="1"/>
  <c r="K25" i="14"/>
  <c r="K28" i="14" s="1"/>
  <c r="J217" i="17"/>
  <c r="L217" i="17"/>
  <c r="I218" i="17"/>
  <c r="K218" i="17"/>
  <c r="K286" i="14" s="1"/>
  <c r="E229" i="2" l="1"/>
  <c r="J25" i="14"/>
  <c r="J28" i="14" s="1"/>
  <c r="L25" i="14"/>
  <c r="L28" i="14" s="1"/>
  <c r="B5" i="9" s="1"/>
  <c r="N5" i="9" s="1"/>
  <c r="J218" i="17"/>
  <c r="I286" i="14"/>
  <c r="L218" i="17"/>
  <c r="L286" i="14" s="1"/>
  <c r="I219" i="17"/>
  <c r="K219" i="17"/>
  <c r="K287" i="14" s="1"/>
  <c r="J286" i="14" l="1"/>
  <c r="J219" i="17"/>
  <c r="J287" i="14" s="1"/>
  <c r="I287" i="14"/>
  <c r="L219" i="17"/>
  <c r="L287" i="14" s="1"/>
  <c r="I220" i="17"/>
  <c r="I223" i="17" s="1"/>
  <c r="K220" i="17"/>
  <c r="K223" i="17" s="1"/>
  <c r="D230" i="2" l="1"/>
  <c r="D232" i="2" s="1"/>
  <c r="I288" i="14"/>
  <c r="K288" i="14"/>
  <c r="L220" i="17"/>
  <c r="L223" i="17" s="1"/>
  <c r="J220" i="17"/>
  <c r="J223" i="17" s="1"/>
  <c r="E230" i="2" l="1"/>
  <c r="E232" i="2" s="1"/>
  <c r="L288" i="14"/>
  <c r="J288" i="14"/>
  <c r="K226" i="17"/>
  <c r="K56" i="14" s="1"/>
  <c r="I226" i="17"/>
  <c r="I56" i="14" l="1"/>
  <c r="J226" i="17"/>
  <c r="L226" i="17"/>
  <c r="L56" i="14" s="1"/>
  <c r="I227" i="17"/>
  <c r="I57" i="14" s="1"/>
  <c r="K227" i="17"/>
  <c r="K57" i="14" s="1"/>
  <c r="J56" i="14" l="1"/>
  <c r="J227" i="17"/>
  <c r="J57" i="14" s="1"/>
  <c r="L227" i="17"/>
  <c r="L57" i="14" s="1"/>
  <c r="I230" i="17"/>
  <c r="K230" i="17"/>
  <c r="K60" i="14" l="1"/>
  <c r="I60" i="14"/>
  <c r="J230" i="17"/>
  <c r="L230" i="17"/>
  <c r="I232" i="17"/>
  <c r="I62" i="14" s="1"/>
  <c r="K232" i="17"/>
  <c r="K62" i="14" s="1"/>
  <c r="D249" i="2" l="1"/>
  <c r="J60" i="14"/>
  <c r="L60" i="14"/>
  <c r="J232" i="17"/>
  <c r="J62" i="14" s="1"/>
  <c r="L232" i="17"/>
  <c r="L62" i="14" s="1"/>
  <c r="I233" i="17"/>
  <c r="K233" i="17"/>
  <c r="K70" i="14" s="1"/>
  <c r="E249" i="2" l="1"/>
  <c r="I70" i="14"/>
  <c r="L233" i="17"/>
  <c r="L70" i="14" s="1"/>
  <c r="I234" i="17"/>
  <c r="K234" i="17"/>
  <c r="K71" i="14" s="1"/>
  <c r="J233" i="17"/>
  <c r="J70" i="14" l="1"/>
  <c r="J234" i="17"/>
  <c r="J71" i="14" s="1"/>
  <c r="I71" i="14"/>
  <c r="L234" i="17"/>
  <c r="L71" i="14" s="1"/>
  <c r="I235" i="17"/>
  <c r="I72" i="14" s="1"/>
  <c r="K235" i="17"/>
  <c r="J235" i="17" l="1"/>
  <c r="J72" i="14" s="1"/>
  <c r="L235" i="17"/>
  <c r="L72" i="14" s="1"/>
  <c r="K72" i="14"/>
  <c r="K236" i="17"/>
  <c r="K282" i="14" s="1"/>
  <c r="I236" i="17"/>
  <c r="J236" i="17" l="1"/>
  <c r="I282" i="14"/>
  <c r="L236" i="17"/>
  <c r="L282" i="14" s="1"/>
  <c r="J282" i="14" l="1"/>
  <c r="K238" i="17"/>
  <c r="K10" i="14" s="1"/>
  <c r="I238" i="17"/>
  <c r="I10" i="14" s="1"/>
  <c r="L238" i="17" l="1"/>
  <c r="L10" i="14" s="1"/>
  <c r="D252" i="2"/>
  <c r="J238" i="17"/>
  <c r="J10" i="14" s="1"/>
  <c r="K239" i="17"/>
  <c r="K283" i="14" s="1"/>
  <c r="I239" i="17"/>
  <c r="D251" i="2" s="1"/>
  <c r="E252" i="2" l="1"/>
  <c r="J239" i="17"/>
  <c r="I283" i="14"/>
  <c r="L239" i="17"/>
  <c r="L283" i="14" s="1"/>
  <c r="K240" i="17"/>
  <c r="K73" i="14" s="1"/>
  <c r="K75" i="14" s="1"/>
  <c r="I240" i="17"/>
  <c r="D250" i="2" s="1"/>
  <c r="J283" i="14" l="1"/>
  <c r="E251" i="2"/>
  <c r="J240" i="17"/>
  <c r="I73" i="14"/>
  <c r="I75" i="14" s="1"/>
  <c r="L240" i="17"/>
  <c r="L73" i="14" s="1"/>
  <c r="L75" i="14" s="1"/>
  <c r="K241" i="17"/>
  <c r="K371" i="14" s="1"/>
  <c r="I241" i="17"/>
  <c r="D253" i="2" s="1"/>
  <c r="J73" i="14" l="1"/>
  <c r="J75" i="14" s="1"/>
  <c r="E250" i="2"/>
  <c r="J241" i="17"/>
  <c r="I371" i="14"/>
  <c r="L241" i="17"/>
  <c r="L371" i="14" s="1"/>
  <c r="K243" i="17"/>
  <c r="I243" i="17"/>
  <c r="J371" i="14" l="1"/>
  <c r="E253" i="2"/>
  <c r="L243" i="17"/>
  <c r="J243" i="17"/>
  <c r="K244" i="17"/>
  <c r="K185" i="14" s="1"/>
  <c r="I244" i="17"/>
  <c r="J244" i="17" l="1"/>
  <c r="I185" i="14"/>
  <c r="L244" i="17"/>
  <c r="L185" i="14" s="1"/>
  <c r="K245" i="17"/>
  <c r="K186" i="14" s="1"/>
  <c r="I245" i="17"/>
  <c r="D254" i="2" s="1"/>
  <c r="J185" i="14" l="1"/>
  <c r="L245" i="17"/>
  <c r="L186" i="14" s="1"/>
  <c r="I186" i="14"/>
  <c r="J245" i="17"/>
  <c r="J186" i="14" s="1"/>
  <c r="E254" i="2" l="1"/>
  <c r="K248" i="17"/>
  <c r="I248" i="17"/>
  <c r="D255" i="2" s="1"/>
  <c r="D257" i="2" s="1"/>
  <c r="E257" i="2" l="1"/>
  <c r="K249" i="17"/>
  <c r="K47" i="14"/>
  <c r="I249" i="17"/>
  <c r="I47" i="14"/>
  <c r="L248" i="17"/>
  <c r="J248" i="17"/>
  <c r="E255" i="2" s="1"/>
  <c r="J249" i="17" l="1"/>
  <c r="J47" i="14"/>
  <c r="L249" i="17"/>
  <c r="L47" i="14"/>
  <c r="K252" i="17"/>
  <c r="I252" i="17"/>
  <c r="K259" i="14" l="1"/>
  <c r="J252" i="17"/>
  <c r="I259" i="14"/>
  <c r="L252" i="17"/>
  <c r="K253" i="17"/>
  <c r="K260" i="14" s="1"/>
  <c r="I253" i="17"/>
  <c r="J253" i="17" l="1"/>
  <c r="J260" i="14" s="1"/>
  <c r="I260" i="14"/>
  <c r="J259" i="14"/>
  <c r="L259" i="14"/>
  <c r="L253" i="17"/>
  <c r="L260" i="14" s="1"/>
  <c r="I254" i="17"/>
  <c r="K254" i="17"/>
  <c r="K261" i="14" s="1"/>
  <c r="I261" i="14" l="1"/>
  <c r="J254" i="17"/>
  <c r="I255" i="17"/>
  <c r="K255" i="17"/>
  <c r="K262" i="14" s="1"/>
  <c r="L254" i="17"/>
  <c r="L261" i="14" s="1"/>
  <c r="J261" i="14" l="1"/>
  <c r="J255" i="17"/>
  <c r="I262" i="14"/>
  <c r="K258" i="17"/>
  <c r="K265" i="14" s="1"/>
  <c r="I258" i="17"/>
  <c r="L255" i="17"/>
  <c r="L262" i="14" s="1"/>
  <c r="J258" i="17" l="1"/>
  <c r="J265" i="14" s="1"/>
  <c r="I265" i="14"/>
  <c r="J262" i="14"/>
  <c r="L258" i="17"/>
  <c r="K259" i="17"/>
  <c r="K266" i="14" s="1"/>
  <c r="I259" i="17"/>
  <c r="L265" i="14" l="1"/>
  <c r="J259" i="17"/>
  <c r="I266" i="14"/>
  <c r="L259" i="17"/>
  <c r="L266" i="14" s="1"/>
  <c r="K260" i="17"/>
  <c r="K267" i="14" s="1"/>
  <c r="I260" i="17"/>
  <c r="J260" i="17" l="1"/>
  <c r="J267" i="14" s="1"/>
  <c r="I267" i="14"/>
  <c r="J266" i="14"/>
  <c r="L260" i="17"/>
  <c r="L267" i="14" s="1"/>
  <c r="I261" i="17"/>
  <c r="K261" i="17"/>
  <c r="K268" i="14" s="1"/>
  <c r="J261" i="17" l="1"/>
  <c r="I268" i="14"/>
  <c r="L261" i="17"/>
  <c r="L268" i="14" s="1"/>
  <c r="K262" i="17"/>
  <c r="K269" i="14" s="1"/>
  <c r="I262" i="17"/>
  <c r="J262" i="17" l="1"/>
  <c r="J269" i="14" s="1"/>
  <c r="I269" i="14"/>
  <c r="J268" i="14"/>
  <c r="L262" i="17"/>
  <c r="L269" i="14" s="1"/>
  <c r="I263" i="17"/>
  <c r="K263" i="17"/>
  <c r="K270" i="14" s="1"/>
  <c r="J263" i="17" l="1"/>
  <c r="I270" i="14"/>
  <c r="L263" i="17"/>
  <c r="L270" i="14" s="1"/>
  <c r="K265" i="17"/>
  <c r="K208" i="14" s="1"/>
  <c r="I265" i="17"/>
  <c r="J270" i="14" l="1"/>
  <c r="J265" i="17"/>
  <c r="I208" i="14"/>
  <c r="L265" i="17"/>
  <c r="L208" i="14" s="1"/>
  <c r="I266" i="17"/>
  <c r="D305" i="2" s="1"/>
  <c r="K266" i="17"/>
  <c r="K209" i="14" s="1"/>
  <c r="J208" i="14" l="1"/>
  <c r="J266" i="17"/>
  <c r="J209" i="14" s="1"/>
  <c r="I209" i="14"/>
  <c r="L266" i="17"/>
  <c r="L209" i="14" s="1"/>
  <c r="I267" i="17"/>
  <c r="K267" i="17"/>
  <c r="K432" i="14" s="1"/>
  <c r="E305" i="2" l="1"/>
  <c r="J267" i="17"/>
  <c r="I432" i="14"/>
  <c r="L267" i="17"/>
  <c r="L432" i="14" s="1"/>
  <c r="K268" i="17"/>
  <c r="K433" i="14" s="1"/>
  <c r="I268" i="17"/>
  <c r="I433" i="14" s="1"/>
  <c r="J432" i="14" l="1"/>
  <c r="J268" i="17"/>
  <c r="J433" i="14" s="1"/>
  <c r="L268" i="17"/>
  <c r="L433" i="14" s="1"/>
  <c r="K269" i="17"/>
  <c r="K383" i="14" s="1"/>
  <c r="I269" i="17"/>
  <c r="I383" i="14" l="1"/>
  <c r="L269" i="17"/>
  <c r="L383" i="14" s="1"/>
  <c r="J269" i="17"/>
  <c r="K270" i="17"/>
  <c r="K384" i="14" s="1"/>
  <c r="K385" i="14" s="1"/>
  <c r="I270" i="17"/>
  <c r="D307" i="2" s="1"/>
  <c r="J383" i="14" l="1"/>
  <c r="J270" i="17"/>
  <c r="J384" i="14" s="1"/>
  <c r="I384" i="14"/>
  <c r="I385" i="14" s="1"/>
  <c r="L270" i="17"/>
  <c r="L384" i="14" s="1"/>
  <c r="L385" i="14" s="1"/>
  <c r="B56" i="9" s="1"/>
  <c r="N56" i="9" s="1"/>
  <c r="K271" i="17"/>
  <c r="K271" i="14" s="1"/>
  <c r="I271" i="17"/>
  <c r="I271" i="14" l="1"/>
  <c r="J385" i="14"/>
  <c r="E307" i="2"/>
  <c r="L271" i="17"/>
  <c r="L271" i="14" s="1"/>
  <c r="J271" i="17"/>
  <c r="I272" i="17"/>
  <c r="K272" i="17"/>
  <c r="K272" i="14" s="1"/>
  <c r="J271" i="14" l="1"/>
  <c r="J272" i="17"/>
  <c r="J272" i="14" s="1"/>
  <c r="I272" i="14"/>
  <c r="I273" i="17"/>
  <c r="K273" i="17"/>
  <c r="K273" i="14" s="1"/>
  <c r="L272" i="17"/>
  <c r="L272" i="14" s="1"/>
  <c r="J273" i="17" l="1"/>
  <c r="I273" i="14"/>
  <c r="L273" i="17"/>
  <c r="L273" i="14" s="1"/>
  <c r="K274" i="17"/>
  <c r="K274" i="14" s="1"/>
  <c r="I274" i="17"/>
  <c r="D304" i="2" s="1"/>
  <c r="J273" i="14" l="1"/>
  <c r="E304" i="2"/>
  <c r="J274" i="17"/>
  <c r="I274" i="14"/>
  <c r="K275" i="17"/>
  <c r="K42" i="14" s="1"/>
  <c r="I275" i="17"/>
  <c r="L274" i="17"/>
  <c r="L274" i="14" s="1"/>
  <c r="J274" i="14" l="1"/>
  <c r="J275" i="17"/>
  <c r="I42" i="14"/>
  <c r="K276" i="17"/>
  <c r="K43" i="14" s="1"/>
  <c r="K44" i="14" s="1"/>
  <c r="I276" i="17"/>
  <c r="D308" i="2" s="1"/>
  <c r="L275" i="17"/>
  <c r="L42" i="14" s="1"/>
  <c r="J42" i="14" l="1"/>
  <c r="J276" i="17"/>
  <c r="J43" i="14" s="1"/>
  <c r="I43" i="14"/>
  <c r="I44" i="14" s="1"/>
  <c r="L276" i="17"/>
  <c r="L43" i="14" s="1"/>
  <c r="L44" i="14" s="1"/>
  <c r="I278" i="17"/>
  <c r="K278" i="17"/>
  <c r="K435" i="14" s="1"/>
  <c r="J44" i="14" l="1"/>
  <c r="E308" i="2"/>
  <c r="J278" i="17"/>
  <c r="I435" i="14"/>
  <c r="I280" i="17"/>
  <c r="K280" i="17"/>
  <c r="L278" i="17"/>
  <c r="L435" i="14" s="1"/>
  <c r="E306" i="2" l="1"/>
  <c r="D306" i="2"/>
  <c r="D309" i="2" s="1"/>
  <c r="J435" i="14"/>
  <c r="K437" i="14"/>
  <c r="K281" i="17"/>
  <c r="I437" i="14"/>
  <c r="I281" i="17"/>
  <c r="J280" i="17"/>
  <c r="L280" i="17"/>
  <c r="J437" i="14" l="1"/>
  <c r="J281" i="17"/>
  <c r="L437" i="14"/>
  <c r="L281" i="17"/>
  <c r="K284" i="17"/>
  <c r="I284" i="17"/>
  <c r="K133" i="14" l="1"/>
  <c r="J284" i="17"/>
  <c r="I133" i="14"/>
  <c r="L284" i="17"/>
  <c r="K285" i="17"/>
  <c r="K134" i="14" s="1"/>
  <c r="I285" i="17"/>
  <c r="I134" i="14" s="1"/>
  <c r="L133" i="14" l="1"/>
  <c r="J133" i="14"/>
  <c r="L285" i="17"/>
  <c r="L134" i="14" s="1"/>
  <c r="J285" i="17"/>
  <c r="J134" i="14" s="1"/>
  <c r="K286" i="17"/>
  <c r="K135" i="14" s="1"/>
  <c r="I286" i="17"/>
  <c r="L286" i="17" l="1"/>
  <c r="L135" i="14" s="1"/>
  <c r="I135" i="14"/>
  <c r="I287" i="17"/>
  <c r="D331" i="2" s="1"/>
  <c r="K287" i="17"/>
  <c r="K136" i="14" s="1"/>
  <c r="J286" i="17"/>
  <c r="J135" i="14" s="1"/>
  <c r="J287" i="17" l="1"/>
  <c r="J136" i="14" s="1"/>
  <c r="I136" i="14"/>
  <c r="L287" i="17"/>
  <c r="L136" i="14" s="1"/>
  <c r="I288" i="17"/>
  <c r="D332" i="2" s="1"/>
  <c r="K288" i="17"/>
  <c r="K50" i="14" s="1"/>
  <c r="K52" i="14" s="1"/>
  <c r="E331" i="2" l="1"/>
  <c r="J288" i="17"/>
  <c r="I50" i="14"/>
  <c r="I52" i="14" s="1"/>
  <c r="L288" i="17"/>
  <c r="L50" i="14" s="1"/>
  <c r="L52" i="14" s="1"/>
  <c r="K289" i="17"/>
  <c r="I289" i="17"/>
  <c r="I204" i="14" l="1"/>
  <c r="D333" i="2"/>
  <c r="J50" i="14"/>
  <c r="J52" i="14" s="1"/>
  <c r="E332" i="2"/>
  <c r="K204" i="14"/>
  <c r="J289" i="17"/>
  <c r="E333" i="2" s="1"/>
  <c r="I290" i="17"/>
  <c r="K290" i="17"/>
  <c r="L289" i="17"/>
  <c r="I13" i="14" l="1"/>
  <c r="L204" i="14"/>
  <c r="J204" i="14"/>
  <c r="K13" i="14"/>
  <c r="J290" i="17"/>
  <c r="L290" i="17"/>
  <c r="K291" i="17"/>
  <c r="I291" i="17"/>
  <c r="J291" i="17" s="1"/>
  <c r="J14" i="14" l="1"/>
  <c r="I14" i="14"/>
  <c r="K14" i="14"/>
  <c r="L13" i="14"/>
  <c r="J13" i="14"/>
  <c r="K295" i="17"/>
  <c r="K164" i="14" s="1"/>
  <c r="I295" i="17"/>
  <c r="D335" i="2" s="1"/>
  <c r="I292" i="17"/>
  <c r="I15" i="14" s="1"/>
  <c r="K292" i="17"/>
  <c r="L291" i="17"/>
  <c r="D334" i="2" l="1"/>
  <c r="K15" i="14"/>
  <c r="L14" i="14"/>
  <c r="J292" i="17"/>
  <c r="E334" i="2" s="1"/>
  <c r="L295" i="17"/>
  <c r="L164" i="14" s="1"/>
  <c r="I164" i="14"/>
  <c r="J295" i="17"/>
  <c r="L292" i="17"/>
  <c r="I296" i="17"/>
  <c r="D336" i="2" s="1"/>
  <c r="K296" i="17"/>
  <c r="J164" i="14" l="1"/>
  <c r="E335" i="2"/>
  <c r="L15" i="14"/>
  <c r="J15" i="14"/>
  <c r="L296" i="17"/>
  <c r="L118" i="14" s="1"/>
  <c r="K118" i="14"/>
  <c r="J296" i="17"/>
  <c r="I118" i="14"/>
  <c r="I297" i="17"/>
  <c r="D337" i="2" s="1"/>
  <c r="K297" i="17"/>
  <c r="K233" i="14" s="1"/>
  <c r="J118" i="14" l="1"/>
  <c r="E336" i="2"/>
  <c r="J297" i="17"/>
  <c r="I233" i="14"/>
  <c r="L297" i="17"/>
  <c r="L233" i="14" s="1"/>
  <c r="I298" i="17"/>
  <c r="I119" i="14" s="1"/>
  <c r="K298" i="17"/>
  <c r="K119" i="14" s="1"/>
  <c r="J233" i="14" l="1"/>
  <c r="E337" i="2"/>
  <c r="L298" i="17"/>
  <c r="L119" i="14" s="1"/>
  <c r="J298" i="17"/>
  <c r="J119" i="14" s="1"/>
  <c r="K299" i="17"/>
  <c r="K396" i="14" s="1"/>
  <c r="I299" i="17"/>
  <c r="J299" i="17" l="1"/>
  <c r="J396" i="14" s="1"/>
  <c r="I396" i="14"/>
  <c r="I300" i="17"/>
  <c r="K300" i="17"/>
  <c r="K302" i="17" s="1"/>
  <c r="L299" i="17"/>
  <c r="L396" i="14" s="1"/>
  <c r="D339" i="2" l="1"/>
  <c r="I302" i="17"/>
  <c r="K339" i="14"/>
  <c r="I339" i="14"/>
  <c r="J300" i="17"/>
  <c r="L300" i="17"/>
  <c r="E339" i="2" l="1"/>
  <c r="J302" i="17"/>
  <c r="L339" i="14"/>
  <c r="L302" i="17"/>
  <c r="J339" i="14"/>
  <c r="H478" i="14"/>
  <c r="H480" i="14"/>
  <c r="H481" i="14"/>
  <c r="I91" i="17"/>
  <c r="K79" i="17"/>
  <c r="K421" i="14" s="1"/>
  <c r="K82" i="17"/>
  <c r="K21" i="14" s="1"/>
  <c r="K83" i="17"/>
  <c r="K22" i="14" s="1"/>
  <c r="K84" i="17"/>
  <c r="K200" i="14" s="1"/>
  <c r="K85" i="17"/>
  <c r="K201" i="14" s="1"/>
  <c r="K88" i="17"/>
  <c r="K7" i="14" s="1"/>
  <c r="I89" i="17"/>
  <c r="K90" i="17"/>
  <c r="K294" i="14" s="1"/>
  <c r="K92" i="17"/>
  <c r="K296" i="14" s="1"/>
  <c r="K96" i="17"/>
  <c r="K12" i="14" s="1"/>
  <c r="K97" i="17"/>
  <c r="K8" i="14" s="1"/>
  <c r="K98" i="17"/>
  <c r="K9" i="14" s="1"/>
  <c r="K100" i="17"/>
  <c r="K173" i="14" s="1"/>
  <c r="K101" i="17"/>
  <c r="K174" i="14" s="1"/>
  <c r="K102" i="17"/>
  <c r="H61" i="17"/>
  <c r="H62" i="17"/>
  <c r="H63" i="17"/>
  <c r="C61" i="2" s="1"/>
  <c r="H64" i="17"/>
  <c r="C62" i="2" s="1"/>
  <c r="H65" i="17"/>
  <c r="H2" i="17"/>
  <c r="H3" i="17"/>
  <c r="H5" i="17"/>
  <c r="H6" i="17"/>
  <c r="H7" i="17"/>
  <c r="H8" i="17"/>
  <c r="H9" i="17"/>
  <c r="H10" i="17"/>
  <c r="H11" i="17"/>
  <c r="H12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443" i="14" s="1"/>
  <c r="H26" i="17"/>
  <c r="H27" i="17"/>
  <c r="H28" i="17"/>
  <c r="H29" i="17"/>
  <c r="H30" i="17"/>
  <c r="H31" i="17"/>
  <c r="H32" i="17"/>
  <c r="H33" i="17"/>
  <c r="H34" i="17"/>
  <c r="H35" i="17"/>
  <c r="H218" i="14" s="1"/>
  <c r="H36" i="17"/>
  <c r="H37" i="17"/>
  <c r="H38" i="17"/>
  <c r="H39" i="17"/>
  <c r="H40" i="17"/>
  <c r="H41" i="17"/>
  <c r="H42" i="17"/>
  <c r="H43" i="17"/>
  <c r="H44" i="17"/>
  <c r="H353" i="14" s="1"/>
  <c r="H45" i="17"/>
  <c r="H46" i="17"/>
  <c r="C27" i="2" s="1"/>
  <c r="H47" i="17"/>
  <c r="H48" i="17"/>
  <c r="H52" i="17"/>
  <c r="H53" i="17"/>
  <c r="H54" i="17"/>
  <c r="H55" i="17"/>
  <c r="H56" i="17"/>
  <c r="H57" i="17"/>
  <c r="C9" i="2" l="1"/>
  <c r="C17" i="2"/>
  <c r="C60" i="2"/>
  <c r="I293" i="14"/>
  <c r="K65" i="17"/>
  <c r="K403" i="14" s="1"/>
  <c r="C63" i="2"/>
  <c r="C8" i="2"/>
  <c r="C5" i="2"/>
  <c r="C11" i="2"/>
  <c r="H399" i="14"/>
  <c r="H66" i="17"/>
  <c r="H100" i="14"/>
  <c r="K100" i="14"/>
  <c r="I65" i="17"/>
  <c r="H403" i="14"/>
  <c r="H404" i="14" s="1"/>
  <c r="K16" i="17"/>
  <c r="K278" i="14" s="1"/>
  <c r="H278" i="14"/>
  <c r="C12" i="2"/>
  <c r="I62" i="17"/>
  <c r="H400" i="14"/>
  <c r="I42" i="17"/>
  <c r="I359" i="14" s="1"/>
  <c r="H359" i="14"/>
  <c r="I10" i="17"/>
  <c r="H393" i="14"/>
  <c r="K41" i="17"/>
  <c r="K358" i="14" s="1"/>
  <c r="H358" i="14"/>
  <c r="K479" i="14"/>
  <c r="H479" i="14"/>
  <c r="H483" i="14" s="1"/>
  <c r="K17" i="17"/>
  <c r="K279" i="14" s="1"/>
  <c r="H279" i="14"/>
  <c r="K342" i="14"/>
  <c r="C10" i="2"/>
  <c r="E10" i="2" s="1"/>
  <c r="H342" i="14"/>
  <c r="K11" i="17"/>
  <c r="K394" i="14" s="1"/>
  <c r="H394" i="14"/>
  <c r="K52" i="17"/>
  <c r="K110" i="14" s="1"/>
  <c r="C28" i="2"/>
  <c r="H110" i="14"/>
  <c r="K48" i="17"/>
  <c r="K96" i="14" s="1"/>
  <c r="H96" i="14"/>
  <c r="I64" i="17"/>
  <c r="D62" i="2" s="1"/>
  <c r="H82" i="14"/>
  <c r="K47" i="17"/>
  <c r="K338" i="14" s="1"/>
  <c r="K340" i="14" s="1"/>
  <c r="H338" i="14"/>
  <c r="H340" i="14" s="1"/>
  <c r="C29" i="2"/>
  <c r="K15" i="17"/>
  <c r="K458" i="14" s="1"/>
  <c r="H458" i="14"/>
  <c r="K46" i="17"/>
  <c r="K95" i="14" s="1"/>
  <c r="H95" i="14"/>
  <c r="K30" i="17"/>
  <c r="K123" i="14" s="1"/>
  <c r="H123" i="14"/>
  <c r="K28" i="17"/>
  <c r="K389" i="14" s="1"/>
  <c r="H389" i="14"/>
  <c r="K9" i="17"/>
  <c r="K238" i="14" s="1"/>
  <c r="H238" i="14"/>
  <c r="I40" i="17"/>
  <c r="H172" i="14"/>
  <c r="K7" i="17"/>
  <c r="K236" i="14" s="1"/>
  <c r="H236" i="14"/>
  <c r="I56" i="17"/>
  <c r="H469" i="14"/>
  <c r="I37" i="17"/>
  <c r="D22" i="2" s="1"/>
  <c r="C22" i="2"/>
  <c r="H406" i="14"/>
  <c r="H408" i="14" s="1"/>
  <c r="K21" i="17"/>
  <c r="K357" i="14" s="1"/>
  <c r="C15" i="2"/>
  <c r="H357" i="14"/>
  <c r="K5" i="17"/>
  <c r="K368" i="14" s="1"/>
  <c r="C6" i="2"/>
  <c r="H368" i="14"/>
  <c r="K32" i="17"/>
  <c r="K459" i="14" s="1"/>
  <c r="H459" i="14"/>
  <c r="K26" i="17"/>
  <c r="K168" i="14" s="1"/>
  <c r="H168" i="14"/>
  <c r="K8" i="17"/>
  <c r="K237" i="14" s="1"/>
  <c r="H237" i="14"/>
  <c r="K39" i="17"/>
  <c r="K171" i="14" s="1"/>
  <c r="H171" i="14"/>
  <c r="C24" i="2"/>
  <c r="I23" i="17"/>
  <c r="H352" i="14"/>
  <c r="I57" i="17"/>
  <c r="H420" i="14"/>
  <c r="K6" i="17"/>
  <c r="K466" i="14" s="1"/>
  <c r="C7" i="2"/>
  <c r="H466" i="14"/>
  <c r="I55" i="17"/>
  <c r="H468" i="14"/>
  <c r="I36" i="17"/>
  <c r="H232" i="14"/>
  <c r="K20" i="17"/>
  <c r="K92" i="14" s="1"/>
  <c r="H92" i="14"/>
  <c r="K3" i="17"/>
  <c r="K418" i="14" s="1"/>
  <c r="H418" i="14"/>
  <c r="K31" i="17"/>
  <c r="K192" i="14" s="1"/>
  <c r="C19" i="2"/>
  <c r="H192" i="14"/>
  <c r="K29" i="17"/>
  <c r="K122" i="14" s="1"/>
  <c r="C18" i="2"/>
  <c r="H122" i="14"/>
  <c r="J91" i="17"/>
  <c r="J295" i="14" s="1"/>
  <c r="I295" i="14"/>
  <c r="K44" i="17"/>
  <c r="K353" i="14" s="1"/>
  <c r="C25" i="2"/>
  <c r="I27" i="17"/>
  <c r="I169" i="14" s="1"/>
  <c r="H169" i="14"/>
  <c r="K25" i="17"/>
  <c r="K443" i="14" s="1"/>
  <c r="K24" i="17"/>
  <c r="K442" i="14" s="1"/>
  <c r="H442" i="14"/>
  <c r="C16" i="2"/>
  <c r="I33" i="17"/>
  <c r="H231" i="14"/>
  <c r="C20" i="2"/>
  <c r="I63" i="17"/>
  <c r="D61" i="2" s="1"/>
  <c r="E61" i="2" s="1"/>
  <c r="H30" i="14"/>
  <c r="K14" i="17"/>
  <c r="K457" i="14" s="1"/>
  <c r="H457" i="14"/>
  <c r="K45" i="17"/>
  <c r="K248" i="14" s="1"/>
  <c r="H248" i="14"/>
  <c r="C26" i="2"/>
  <c r="K43" i="17"/>
  <c r="K390" i="14" s="1"/>
  <c r="H390" i="14"/>
  <c r="K214" i="14"/>
  <c r="C23" i="2"/>
  <c r="E23" i="2" s="1"/>
  <c r="H214" i="14"/>
  <c r="I22" i="17"/>
  <c r="H388" i="14"/>
  <c r="K54" i="17"/>
  <c r="K467" i="14" s="1"/>
  <c r="H467" i="14"/>
  <c r="K19" i="17"/>
  <c r="K91" i="14" s="1"/>
  <c r="C14" i="2"/>
  <c r="H91" i="14"/>
  <c r="I2" i="17"/>
  <c r="H417" i="14"/>
  <c r="I53" i="17"/>
  <c r="I98" i="14" s="1"/>
  <c r="H98" i="14"/>
  <c r="I34" i="17"/>
  <c r="H217" i="14"/>
  <c r="C21" i="2"/>
  <c r="H376" i="14"/>
  <c r="H377" i="14" s="1"/>
  <c r="C13" i="2"/>
  <c r="E13" i="2" s="1"/>
  <c r="I92" i="17"/>
  <c r="J92" i="17" s="1"/>
  <c r="J296" i="14" s="1"/>
  <c r="I90" i="17"/>
  <c r="I294" i="14" s="1"/>
  <c r="J89" i="17"/>
  <c r="I97" i="17"/>
  <c r="J97" i="17" s="1"/>
  <c r="J8" i="14" s="1"/>
  <c r="I80" i="17"/>
  <c r="K80" i="17"/>
  <c r="K422" i="14" s="1"/>
  <c r="I86" i="17"/>
  <c r="I102" i="17"/>
  <c r="I100" i="17"/>
  <c r="I83" i="17"/>
  <c r="K95" i="17"/>
  <c r="K11" i="14" s="1"/>
  <c r="K18" i="14" s="1"/>
  <c r="I98" i="17"/>
  <c r="I82" i="17"/>
  <c r="K94" i="17"/>
  <c r="K55" i="14" s="1"/>
  <c r="K93" i="17"/>
  <c r="K54" i="14" s="1"/>
  <c r="I101" i="17"/>
  <c r="I96" i="17"/>
  <c r="I79" i="17"/>
  <c r="I84" i="17"/>
  <c r="I95" i="17"/>
  <c r="K91" i="17"/>
  <c r="I85" i="17"/>
  <c r="I94" i="17"/>
  <c r="I93" i="17"/>
  <c r="K89" i="17"/>
  <c r="K87" i="17"/>
  <c r="K130" i="14" s="1"/>
  <c r="K86" i="17"/>
  <c r="K129" i="14" s="1"/>
  <c r="I88" i="17"/>
  <c r="D125" i="2" s="1"/>
  <c r="I87" i="17"/>
  <c r="K64" i="17"/>
  <c r="K63" i="17"/>
  <c r="K62" i="17"/>
  <c r="I61" i="17"/>
  <c r="K61" i="17"/>
  <c r="K399" i="14" s="1"/>
  <c r="K480" i="14"/>
  <c r="I73" i="17"/>
  <c r="I70" i="17"/>
  <c r="K481" i="14"/>
  <c r="K478" i="14"/>
  <c r="I75" i="17"/>
  <c r="D98" i="2" s="1"/>
  <c r="I71" i="17"/>
  <c r="I72" i="17"/>
  <c r="I480" i="14" s="1"/>
  <c r="I32" i="17"/>
  <c r="I31" i="17"/>
  <c r="D19" i="2" s="1"/>
  <c r="K2" i="17"/>
  <c r="I19" i="17"/>
  <c r="J18" i="17"/>
  <c r="I17" i="17"/>
  <c r="I16" i="17"/>
  <c r="I15" i="17"/>
  <c r="K42" i="17"/>
  <c r="K22" i="17"/>
  <c r="K37" i="17"/>
  <c r="I54" i="17"/>
  <c r="K36" i="17"/>
  <c r="K56" i="17"/>
  <c r="I52" i="17"/>
  <c r="I48" i="17"/>
  <c r="I96" i="14" s="1"/>
  <c r="K33" i="17"/>
  <c r="I47" i="17"/>
  <c r="D29" i="2" s="1"/>
  <c r="K53" i="17"/>
  <c r="H58" i="17"/>
  <c r="K23" i="17"/>
  <c r="K57" i="17"/>
  <c r="K35" i="17"/>
  <c r="K218" i="14" s="1"/>
  <c r="K55" i="17"/>
  <c r="K34" i="17"/>
  <c r="I35" i="17"/>
  <c r="K10" i="17"/>
  <c r="K27" i="17"/>
  <c r="K40" i="17"/>
  <c r="I30" i="17"/>
  <c r="I14" i="17"/>
  <c r="I29" i="17"/>
  <c r="I28" i="17"/>
  <c r="I43" i="17"/>
  <c r="I11" i="17"/>
  <c r="I26" i="17"/>
  <c r="I25" i="17"/>
  <c r="I443" i="14" s="1"/>
  <c r="I24" i="17"/>
  <c r="I8" i="17"/>
  <c r="I237" i="14" s="1"/>
  <c r="I39" i="17"/>
  <c r="I7" i="17"/>
  <c r="I6" i="17"/>
  <c r="I21" i="17"/>
  <c r="I5" i="17"/>
  <c r="D6" i="2" s="1"/>
  <c r="I46" i="17"/>
  <c r="I45" i="17"/>
  <c r="D26" i="2" s="1"/>
  <c r="I44" i="17"/>
  <c r="I41" i="17"/>
  <c r="I9" i="17"/>
  <c r="I20" i="17"/>
  <c r="I3" i="17"/>
  <c r="D27" i="2" l="1"/>
  <c r="L65" i="17"/>
  <c r="L403" i="14" s="1"/>
  <c r="H439" i="14"/>
  <c r="D128" i="2"/>
  <c r="H188" i="14"/>
  <c r="D122" i="2"/>
  <c r="D16" i="2"/>
  <c r="E16" i="2" s="1"/>
  <c r="C64" i="2"/>
  <c r="D9" i="2"/>
  <c r="H107" i="14"/>
  <c r="N108" i="14" s="1"/>
  <c r="K64" i="14"/>
  <c r="D14" i="2"/>
  <c r="E14" i="2" s="1"/>
  <c r="H280" i="14"/>
  <c r="E26" i="2"/>
  <c r="E19" i="2"/>
  <c r="D24" i="2"/>
  <c r="E24" i="2" s="1"/>
  <c r="E6" i="2"/>
  <c r="D17" i="2"/>
  <c r="E17" i="2" s="1"/>
  <c r="E22" i="2"/>
  <c r="I54" i="14"/>
  <c r="D127" i="2"/>
  <c r="I129" i="14"/>
  <c r="D124" i="2"/>
  <c r="D123" i="2"/>
  <c r="J293" i="14"/>
  <c r="D121" i="2"/>
  <c r="D126" i="2"/>
  <c r="D97" i="2"/>
  <c r="I403" i="14"/>
  <c r="D63" i="2"/>
  <c r="H401" i="14"/>
  <c r="J61" i="17"/>
  <c r="J399" i="14" s="1"/>
  <c r="D60" i="2"/>
  <c r="H324" i="17"/>
  <c r="J65" i="17"/>
  <c r="D21" i="2"/>
  <c r="E21" i="2" s="1"/>
  <c r="I236" i="14"/>
  <c r="D8" i="2"/>
  <c r="E8" i="2" s="1"/>
  <c r="I353" i="14"/>
  <c r="D25" i="2"/>
  <c r="E25" i="2" s="1"/>
  <c r="E29" i="2"/>
  <c r="D15" i="2"/>
  <c r="E15" i="2" s="1"/>
  <c r="D18" i="2"/>
  <c r="E18" i="2" s="1"/>
  <c r="D5" i="2"/>
  <c r="E5" i="2" s="1"/>
  <c r="D7" i="2"/>
  <c r="E7" i="2" s="1"/>
  <c r="D11" i="2"/>
  <c r="E11" i="2" s="1"/>
  <c r="D12" i="2"/>
  <c r="E12" i="2" s="1"/>
  <c r="D20" i="2"/>
  <c r="E20" i="2" s="1"/>
  <c r="K280" i="14"/>
  <c r="J53" i="17"/>
  <c r="J98" i="14" s="1"/>
  <c r="J27" i="17"/>
  <c r="J169" i="14" s="1"/>
  <c r="J90" i="17"/>
  <c r="J294" i="14" s="1"/>
  <c r="L90" i="17"/>
  <c r="L294" i="14" s="1"/>
  <c r="H234" i="14"/>
  <c r="H470" i="14"/>
  <c r="J63" i="17"/>
  <c r="J30" i="14" s="1"/>
  <c r="I30" i="14"/>
  <c r="L36" i="17"/>
  <c r="L232" i="14" s="1"/>
  <c r="K232" i="14"/>
  <c r="J6" i="17"/>
  <c r="I466" i="14"/>
  <c r="L40" i="17"/>
  <c r="L172" i="14" s="1"/>
  <c r="K172" i="14"/>
  <c r="L75" i="17"/>
  <c r="L100" i="14" s="1"/>
  <c r="I100" i="14"/>
  <c r="J40" i="17"/>
  <c r="J172" i="14" s="1"/>
  <c r="I172" i="14"/>
  <c r="I393" i="14"/>
  <c r="J55" i="17"/>
  <c r="J468" i="14" s="1"/>
  <c r="I468" i="14"/>
  <c r="J64" i="17"/>
  <c r="I82" i="14"/>
  <c r="J38" i="17"/>
  <c r="I214" i="14"/>
  <c r="L27" i="17"/>
  <c r="L169" i="14" s="1"/>
  <c r="K169" i="14"/>
  <c r="J54" i="17"/>
  <c r="J467" i="14" s="1"/>
  <c r="I467" i="14"/>
  <c r="L83" i="17"/>
  <c r="L22" i="14" s="1"/>
  <c r="I22" i="14"/>
  <c r="J7" i="17"/>
  <c r="J236" i="14" s="1"/>
  <c r="L37" i="17"/>
  <c r="L406" i="14" s="1"/>
  <c r="L408" i="14" s="1"/>
  <c r="K406" i="14"/>
  <c r="K408" i="14" s="1"/>
  <c r="L89" i="17"/>
  <c r="L293" i="14" s="1"/>
  <c r="K293" i="14"/>
  <c r="J20" i="17"/>
  <c r="J92" i="14" s="1"/>
  <c r="I92" i="14"/>
  <c r="J8" i="17"/>
  <c r="J237" i="14" s="1"/>
  <c r="L34" i="17"/>
  <c r="L217" i="14" s="1"/>
  <c r="K217" i="14"/>
  <c r="J94" i="17"/>
  <c r="J55" i="14" s="1"/>
  <c r="I55" i="14"/>
  <c r="H364" i="14"/>
  <c r="J41" i="17"/>
  <c r="J358" i="14" s="1"/>
  <c r="I358" i="14"/>
  <c r="L25" i="17"/>
  <c r="L443" i="14" s="1"/>
  <c r="L44" i="17"/>
  <c r="L353" i="14" s="1"/>
  <c r="J11" i="17"/>
  <c r="J394" i="14" s="1"/>
  <c r="I394" i="14"/>
  <c r="L23" i="17"/>
  <c r="L352" i="14" s="1"/>
  <c r="K352" i="14"/>
  <c r="J17" i="17"/>
  <c r="J279" i="14" s="1"/>
  <c r="I279" i="14"/>
  <c r="I66" i="17"/>
  <c r="I399" i="14"/>
  <c r="J84" i="17"/>
  <c r="I200" i="14"/>
  <c r="I417" i="14"/>
  <c r="J35" i="17"/>
  <c r="J218" i="14" s="1"/>
  <c r="I218" i="14"/>
  <c r="J37" i="17"/>
  <c r="I406" i="14"/>
  <c r="I408" i="14" s="1"/>
  <c r="J62" i="17"/>
  <c r="J400" i="14" s="1"/>
  <c r="I400" i="14"/>
  <c r="J57" i="17"/>
  <c r="J420" i="14" s="1"/>
  <c r="I420" i="14"/>
  <c r="L91" i="17"/>
  <c r="L295" i="14" s="1"/>
  <c r="K295" i="14"/>
  <c r="J12" i="17"/>
  <c r="I342" i="14"/>
  <c r="J95" i="17"/>
  <c r="J11" i="14" s="1"/>
  <c r="I11" i="14"/>
  <c r="L43" i="17"/>
  <c r="L390" i="14" s="1"/>
  <c r="I390" i="14"/>
  <c r="L97" i="17"/>
  <c r="L8" i="14" s="1"/>
  <c r="I8" i="14"/>
  <c r="J56" i="17"/>
  <c r="J469" i="14" s="1"/>
  <c r="I469" i="14"/>
  <c r="L10" i="17"/>
  <c r="K393" i="14"/>
  <c r="L100" i="17"/>
  <c r="L173" i="14" s="1"/>
  <c r="I173" i="14"/>
  <c r="J3" i="17"/>
  <c r="J418" i="14" s="1"/>
  <c r="I418" i="14"/>
  <c r="J39" i="17"/>
  <c r="I171" i="14"/>
  <c r="L22" i="17"/>
  <c r="L388" i="14" s="1"/>
  <c r="K388" i="14"/>
  <c r="J70" i="17"/>
  <c r="I478" i="14"/>
  <c r="J102" i="17"/>
  <c r="J73" i="17"/>
  <c r="J481" i="14" s="1"/>
  <c r="I481" i="14"/>
  <c r="J33" i="17"/>
  <c r="I231" i="14"/>
  <c r="L15" i="17"/>
  <c r="L458" i="14" s="1"/>
  <c r="I458" i="14"/>
  <c r="J16" i="17"/>
  <c r="I278" i="14"/>
  <c r="J45" i="17"/>
  <c r="I248" i="14"/>
  <c r="L79" i="17"/>
  <c r="L421" i="14" s="1"/>
  <c r="I421" i="14"/>
  <c r="J46" i="17"/>
  <c r="E27" i="2" s="1"/>
  <c r="I95" i="14"/>
  <c r="L28" i="17"/>
  <c r="L389" i="14" s="1"/>
  <c r="I389" i="14"/>
  <c r="L53" i="17"/>
  <c r="L98" i="14" s="1"/>
  <c r="K98" i="14"/>
  <c r="K107" i="14" s="1"/>
  <c r="L96" i="17"/>
  <c r="L12" i="14" s="1"/>
  <c r="I12" i="14"/>
  <c r="L101" i="17"/>
  <c r="L174" i="14" s="1"/>
  <c r="I174" i="14"/>
  <c r="J29" i="17"/>
  <c r="I122" i="14"/>
  <c r="L33" i="17"/>
  <c r="L231" i="14" s="1"/>
  <c r="K231" i="14"/>
  <c r="J22" i="17"/>
  <c r="I388" i="14"/>
  <c r="J23" i="17"/>
  <c r="J352" i="14" s="1"/>
  <c r="I352" i="14"/>
  <c r="J5" i="17"/>
  <c r="I368" i="14"/>
  <c r="J2" i="17"/>
  <c r="J32" i="17"/>
  <c r="J459" i="14" s="1"/>
  <c r="I459" i="14"/>
  <c r="J34" i="17"/>
  <c r="I217" i="14"/>
  <c r="L57" i="17"/>
  <c r="L420" i="14" s="1"/>
  <c r="K420" i="14"/>
  <c r="J80" i="17"/>
  <c r="J422" i="14" s="1"/>
  <c r="I422" i="14"/>
  <c r="J19" i="17"/>
  <c r="I91" i="14"/>
  <c r="J10" i="17"/>
  <c r="J47" i="17"/>
  <c r="I338" i="14"/>
  <c r="I340" i="14" s="1"/>
  <c r="L2" i="17"/>
  <c r="L417" i="14" s="1"/>
  <c r="K417" i="14"/>
  <c r="K439" i="14" s="1"/>
  <c r="L64" i="17"/>
  <c r="L82" i="14" s="1"/>
  <c r="K82" i="14"/>
  <c r="J42" i="17"/>
  <c r="J359" i="14" s="1"/>
  <c r="J31" i="17"/>
  <c r="I192" i="14"/>
  <c r="J87" i="17"/>
  <c r="J130" i="14" s="1"/>
  <c r="I130" i="14"/>
  <c r="J82" i="17"/>
  <c r="I21" i="14"/>
  <c r="J36" i="17"/>
  <c r="J232" i="14" s="1"/>
  <c r="I232" i="14"/>
  <c r="J9" i="17"/>
  <c r="J238" i="14" s="1"/>
  <c r="I238" i="14"/>
  <c r="J24" i="17"/>
  <c r="I442" i="14"/>
  <c r="L55" i="17"/>
  <c r="L468" i="14" s="1"/>
  <c r="K468" i="14"/>
  <c r="L42" i="17"/>
  <c r="L359" i="14" s="1"/>
  <c r="K359" i="14"/>
  <c r="K364" i="14" s="1"/>
  <c r="J85" i="17"/>
  <c r="J201" i="14" s="1"/>
  <c r="I201" i="14"/>
  <c r="J26" i="17"/>
  <c r="J168" i="14" s="1"/>
  <c r="I168" i="14"/>
  <c r="C31" i="2"/>
  <c r="J376" i="14"/>
  <c r="J377" i="14" s="1"/>
  <c r="L62" i="17"/>
  <c r="L400" i="14" s="1"/>
  <c r="K400" i="14"/>
  <c r="L63" i="17"/>
  <c r="L30" i="14" s="1"/>
  <c r="K30" i="14"/>
  <c r="J21" i="17"/>
  <c r="I357" i="14"/>
  <c r="L14" i="17"/>
  <c r="I457" i="14"/>
  <c r="D28" i="2"/>
  <c r="E28" i="2" s="1"/>
  <c r="I110" i="14"/>
  <c r="L92" i="17"/>
  <c r="L296" i="14" s="1"/>
  <c r="I296" i="14"/>
  <c r="I332" i="14" s="1"/>
  <c r="J30" i="17"/>
  <c r="J123" i="14" s="1"/>
  <c r="I123" i="14"/>
  <c r="L56" i="17"/>
  <c r="L469" i="14" s="1"/>
  <c r="K469" i="14"/>
  <c r="L71" i="17"/>
  <c r="L479" i="14" s="1"/>
  <c r="I479" i="14"/>
  <c r="J88" i="17"/>
  <c r="I7" i="14"/>
  <c r="J98" i="17"/>
  <c r="J9" i="14" s="1"/>
  <c r="I9" i="14"/>
  <c r="K66" i="17"/>
  <c r="L11" i="17"/>
  <c r="L12" i="17"/>
  <c r="J75" i="17"/>
  <c r="L72" i="17"/>
  <c r="L480" i="14" s="1"/>
  <c r="L86" i="17"/>
  <c r="L129" i="14" s="1"/>
  <c r="L88" i="17"/>
  <c r="L7" i="14" s="1"/>
  <c r="L82" i="17"/>
  <c r="L21" i="14" s="1"/>
  <c r="L94" i="17"/>
  <c r="L55" i="14" s="1"/>
  <c r="J86" i="17"/>
  <c r="J100" i="17"/>
  <c r="L85" i="17"/>
  <c r="L201" i="14" s="1"/>
  <c r="J72" i="17"/>
  <c r="J480" i="14" s="1"/>
  <c r="L93" i="17"/>
  <c r="L54" i="14" s="1"/>
  <c r="L102" i="17"/>
  <c r="L87" i="17"/>
  <c r="L130" i="14" s="1"/>
  <c r="L80" i="17"/>
  <c r="L422" i="14" s="1"/>
  <c r="J71" i="17"/>
  <c r="J479" i="14" s="1"/>
  <c r="J83" i="17"/>
  <c r="J22" i="14" s="1"/>
  <c r="J101" i="17"/>
  <c r="J174" i="14" s="1"/>
  <c r="J79" i="17"/>
  <c r="L84" i="17"/>
  <c r="L200" i="14" s="1"/>
  <c r="L95" i="17"/>
  <c r="L11" i="14" s="1"/>
  <c r="J96" i="17"/>
  <c r="J12" i="14" s="1"/>
  <c r="L98" i="17"/>
  <c r="L9" i="14" s="1"/>
  <c r="J93" i="17"/>
  <c r="L32" i="17"/>
  <c r="L459" i="14" s="1"/>
  <c r="K76" i="17"/>
  <c r="L73" i="17"/>
  <c r="L481" i="14" s="1"/>
  <c r="L61" i="17"/>
  <c r="I76" i="17"/>
  <c r="L70" i="17"/>
  <c r="L31" i="17"/>
  <c r="L192" i="14" s="1"/>
  <c r="L17" i="17"/>
  <c r="L279" i="14" s="1"/>
  <c r="L47" i="17"/>
  <c r="L338" i="14" s="1"/>
  <c r="L340" i="14" s="1"/>
  <c r="L16" i="17"/>
  <c r="L278" i="14" s="1"/>
  <c r="L19" i="17"/>
  <c r="L91" i="14" s="1"/>
  <c r="L18" i="17"/>
  <c r="L376" i="14" s="1"/>
  <c r="L377" i="14" s="1"/>
  <c r="I58" i="17"/>
  <c r="J28" i="17"/>
  <c r="J389" i="14" s="1"/>
  <c r="L46" i="17"/>
  <c r="L95" i="14" s="1"/>
  <c r="J43" i="17"/>
  <c r="J390" i="14" s="1"/>
  <c r="J15" i="17"/>
  <c r="J458" i="14" s="1"/>
  <c r="K58" i="17"/>
  <c r="J48" i="17"/>
  <c r="J96" i="14" s="1"/>
  <c r="L48" i="17"/>
  <c r="L96" i="14" s="1"/>
  <c r="J52" i="17"/>
  <c r="L52" i="17"/>
  <c r="L110" i="14" s="1"/>
  <c r="L7" i="17"/>
  <c r="L236" i="14" s="1"/>
  <c r="L39" i="17"/>
  <c r="L171" i="14" s="1"/>
  <c r="L35" i="17"/>
  <c r="L218" i="14" s="1"/>
  <c r="L8" i="17"/>
  <c r="L237" i="14" s="1"/>
  <c r="L54" i="17"/>
  <c r="L467" i="14" s="1"/>
  <c r="L24" i="17"/>
  <c r="L442" i="14" s="1"/>
  <c r="L9" i="17"/>
  <c r="L238" i="14" s="1"/>
  <c r="J14" i="17"/>
  <c r="L29" i="17"/>
  <c r="L122" i="14" s="1"/>
  <c r="L41" i="17"/>
  <c r="L358" i="14" s="1"/>
  <c r="L30" i="17"/>
  <c r="L123" i="14" s="1"/>
  <c r="J25" i="17"/>
  <c r="J443" i="14" s="1"/>
  <c r="L26" i="17"/>
  <c r="L168" i="14" s="1"/>
  <c r="L45" i="17"/>
  <c r="L248" i="14" s="1"/>
  <c r="L3" i="17"/>
  <c r="L418" i="14" s="1"/>
  <c r="L20" i="17"/>
  <c r="L92" i="14" s="1"/>
  <c r="L5" i="17"/>
  <c r="L368" i="14" s="1"/>
  <c r="J44" i="17"/>
  <c r="L21" i="17"/>
  <c r="L357" i="14" s="1"/>
  <c r="L6" i="17"/>
  <c r="L466" i="14" s="1"/>
  <c r="L38" i="17"/>
  <c r="L214" i="14" s="1"/>
  <c r="D292" i="2"/>
  <c r="D297" i="2" s="1"/>
  <c r="N11" i="14" l="1"/>
  <c r="N13" i="14" s="1"/>
  <c r="I439" i="14"/>
  <c r="L439" i="14"/>
  <c r="K188" i="14"/>
  <c r="L188" i="14"/>
  <c r="B28" i="9" s="1"/>
  <c r="N28" i="9" s="1"/>
  <c r="I188" i="14"/>
  <c r="C67" i="2"/>
  <c r="E9" i="2"/>
  <c r="L107" i="14"/>
  <c r="I107" i="14"/>
  <c r="J332" i="14"/>
  <c r="J129" i="14"/>
  <c r="E124" i="2"/>
  <c r="J200" i="14"/>
  <c r="E123" i="2"/>
  <c r="J21" i="14"/>
  <c r="E122" i="2"/>
  <c r="E126" i="2"/>
  <c r="J173" i="14"/>
  <c r="E128" i="2"/>
  <c r="J54" i="14"/>
  <c r="J64" i="14" s="1"/>
  <c r="E127" i="2"/>
  <c r="J421" i="14"/>
  <c r="E121" i="2"/>
  <c r="D133" i="2"/>
  <c r="L64" i="14"/>
  <c r="J7" i="14"/>
  <c r="J18" i="14" s="1"/>
  <c r="E125" i="2"/>
  <c r="I64" i="14"/>
  <c r="J478" i="14"/>
  <c r="E97" i="2"/>
  <c r="J100" i="14"/>
  <c r="E98" i="2"/>
  <c r="J403" i="14"/>
  <c r="E63" i="2"/>
  <c r="D64" i="2"/>
  <c r="E60" i="2"/>
  <c r="J82" i="14"/>
  <c r="E62" i="2"/>
  <c r="L241" i="14"/>
  <c r="I324" i="17"/>
  <c r="K324" i="17"/>
  <c r="I18" i="14"/>
  <c r="L18" i="14"/>
  <c r="L394" i="14"/>
  <c r="L393" i="14"/>
  <c r="L457" i="14"/>
  <c r="L342" i="14"/>
  <c r="J353" i="14"/>
  <c r="I280" i="14"/>
  <c r="I364" i="14"/>
  <c r="K234" i="14"/>
  <c r="L234" i="14"/>
  <c r="J417" i="14"/>
  <c r="L66" i="17"/>
  <c r="L399" i="14"/>
  <c r="J442" i="14"/>
  <c r="J122" i="14"/>
  <c r="J248" i="14"/>
  <c r="J278" i="14"/>
  <c r="J280" i="14" s="1"/>
  <c r="L364" i="14"/>
  <c r="B51" i="9" s="1"/>
  <c r="L280" i="14"/>
  <c r="B43" i="9" s="1"/>
  <c r="N43" i="9" s="1"/>
  <c r="D31" i="2"/>
  <c r="J338" i="14"/>
  <c r="J340" i="14" s="1"/>
  <c r="J342" i="14"/>
  <c r="J110" i="14"/>
  <c r="L76" i="17"/>
  <c r="L478" i="14"/>
  <c r="J66" i="17"/>
  <c r="J393" i="14"/>
  <c r="J368" i="14"/>
  <c r="I234" i="14"/>
  <c r="J231" i="14"/>
  <c r="J234" i="14" s="1"/>
  <c r="J357" i="14"/>
  <c r="J364" i="14" s="1"/>
  <c r="J466" i="14"/>
  <c r="J388" i="14"/>
  <c r="J95" i="14"/>
  <c r="J214" i="14"/>
  <c r="J457" i="14"/>
  <c r="J192" i="14"/>
  <c r="K332" i="14"/>
  <c r="J171" i="14"/>
  <c r="J91" i="14"/>
  <c r="L332" i="14"/>
  <c r="J406" i="14"/>
  <c r="J408" i="14" s="1"/>
  <c r="J217" i="14"/>
  <c r="J76" i="17"/>
  <c r="L58" i="17"/>
  <c r="J58" i="17"/>
  <c r="B46" i="9" l="1"/>
  <c r="N46" i="9" s="1"/>
  <c r="N51" i="9"/>
  <c r="J439" i="14"/>
  <c r="J188" i="14"/>
  <c r="J107" i="14"/>
  <c r="D67" i="2"/>
  <c r="E133" i="2"/>
  <c r="E64" i="2"/>
  <c r="J324" i="17"/>
  <c r="L324" i="17"/>
  <c r="E31" i="2"/>
  <c r="G62" i="3" l="1"/>
  <c r="J62" i="3" s="1"/>
  <c r="H62" i="3" l="1"/>
  <c r="I62" i="3" s="1"/>
  <c r="K62" i="3"/>
  <c r="A33" i="9" l="1"/>
  <c r="A57" i="8" l="1"/>
  <c r="A51" i="8"/>
  <c r="B51" i="8"/>
  <c r="A54" i="8"/>
  <c r="A53" i="8"/>
  <c r="A56" i="8"/>
  <c r="A49" i="8"/>
  <c r="A48" i="8"/>
  <c r="A47" i="8"/>
  <c r="A46" i="8"/>
  <c r="A45" i="8"/>
  <c r="A44" i="8"/>
  <c r="A42" i="8"/>
  <c r="A35" i="8"/>
  <c r="A40" i="8"/>
  <c r="A38" i="8"/>
  <c r="A37" i="8"/>
  <c r="A36" i="8"/>
  <c r="A34" i="8"/>
  <c r="D394" i="2" l="1"/>
  <c r="F2" i="14" l="1"/>
  <c r="F3" i="14"/>
  <c r="F4" i="14"/>
  <c r="F26" i="14"/>
  <c r="F41" i="14"/>
  <c r="F51" i="14"/>
  <c r="F88" i="14"/>
  <c r="F196" i="14"/>
  <c r="F197" i="14"/>
  <c r="F230" i="14"/>
  <c r="F344" i="14"/>
  <c r="F345" i="14"/>
  <c r="F347" i="14"/>
  <c r="F348" i="14"/>
  <c r="F374" i="14"/>
  <c r="F375" i="14"/>
  <c r="F382" i="14"/>
  <c r="F463" i="14"/>
  <c r="F464" i="14"/>
  <c r="F465" i="14"/>
  <c r="G51" i="3" l="1"/>
  <c r="J51" i="3" l="1"/>
  <c r="H51" i="3"/>
  <c r="E58" i="2" l="1"/>
  <c r="E67" i="2" l="1"/>
  <c r="G13" i="3"/>
  <c r="H13" i="3" l="1"/>
  <c r="I13" i="3" s="1"/>
  <c r="J13" i="3" l="1"/>
  <c r="K13" i="3" l="1"/>
  <c r="G5" i="3" l="1"/>
  <c r="H5" i="3" s="1"/>
  <c r="G6" i="3"/>
  <c r="H6" i="3" s="1"/>
  <c r="J6" i="3" s="1"/>
  <c r="J5" i="3" l="1"/>
  <c r="K5" i="3" s="1"/>
  <c r="H48" i="14"/>
  <c r="K6" i="3"/>
  <c r="K48" i="14"/>
  <c r="I48" i="14" l="1"/>
  <c r="L48" i="14"/>
  <c r="B9" i="9" l="1"/>
  <c r="N9" i="9" s="1"/>
  <c r="J48" i="14"/>
  <c r="A23" i="9" l="1"/>
  <c r="G143" i="3" l="1"/>
  <c r="J143" i="3" s="1"/>
  <c r="H143" i="3" l="1"/>
  <c r="I143" i="3" s="1"/>
  <c r="K143" i="3"/>
  <c r="G69" i="9" l="1"/>
  <c r="I69" i="9"/>
  <c r="J69" i="9"/>
  <c r="K69" i="9"/>
  <c r="L69" i="9"/>
  <c r="L72" i="9" l="1"/>
  <c r="G88" i="14" l="1"/>
  <c r="E88" i="14"/>
  <c r="C88" i="14"/>
  <c r="B88" i="14"/>
  <c r="A88" i="14"/>
  <c r="G344" i="14" l="1"/>
  <c r="E344" i="14"/>
  <c r="C344" i="14"/>
  <c r="B344" i="14"/>
  <c r="A344" i="14"/>
  <c r="G249" i="14" l="1"/>
  <c r="A41" i="9"/>
  <c r="A16" i="9" l="1"/>
  <c r="A32" i="9" l="1"/>
  <c r="H344" i="14" l="1"/>
  <c r="K344" i="14" l="1"/>
  <c r="J344" i="14"/>
  <c r="I344" i="14"/>
  <c r="G162" i="3"/>
  <c r="J162" i="3" l="1"/>
  <c r="J24" i="8"/>
  <c r="L24" i="8" s="1"/>
  <c r="K162" i="3"/>
  <c r="H162" i="3"/>
  <c r="I162" i="3" s="1"/>
  <c r="L344" i="14"/>
  <c r="B130" i="2" l="1"/>
  <c r="K88" i="14" l="1"/>
  <c r="H88" i="14"/>
  <c r="C130" i="2"/>
  <c r="D130" i="2"/>
  <c r="G345" i="14"/>
  <c r="E345" i="14"/>
  <c r="C345" i="14"/>
  <c r="B345" i="14"/>
  <c r="K345" i="14"/>
  <c r="H249" i="14"/>
  <c r="I88" i="14" l="1"/>
  <c r="E130" i="2"/>
  <c r="I249" i="14"/>
  <c r="L345" i="14"/>
  <c r="H345" i="14"/>
  <c r="I345" i="14"/>
  <c r="K249" i="14"/>
  <c r="L88" i="14" l="1"/>
  <c r="J88" i="14"/>
  <c r="J345" i="14"/>
  <c r="A375" i="14"/>
  <c r="C375" i="14"/>
  <c r="E375" i="14"/>
  <c r="G375" i="14"/>
  <c r="I375" i="14"/>
  <c r="K375" i="14"/>
  <c r="J249" i="14" l="1"/>
  <c r="L249" i="14"/>
  <c r="B41" i="9" s="1"/>
  <c r="N41" i="9" s="1"/>
  <c r="G126" i="3" l="1"/>
  <c r="C3" i="8" s="1"/>
  <c r="L3" i="8" s="1"/>
  <c r="G127" i="3"/>
  <c r="C265" i="2" l="1"/>
  <c r="H127" i="3"/>
  <c r="C11" i="8"/>
  <c r="C267" i="2"/>
  <c r="D267" i="2" s="1"/>
  <c r="E267" i="2" s="1"/>
  <c r="H126" i="3"/>
  <c r="I126" i="3" s="1"/>
  <c r="J127" i="3"/>
  <c r="J126" i="3"/>
  <c r="K126" i="3" s="1"/>
  <c r="L11" i="8" l="1"/>
  <c r="K127" i="3"/>
  <c r="I127" i="3"/>
  <c r="D60" i="8" l="1"/>
  <c r="A25" i="8" l="1"/>
  <c r="E60" i="8"/>
  <c r="F60" i="8"/>
  <c r="H60" i="8"/>
  <c r="B58" i="8"/>
  <c r="A50" i="8" l="1"/>
  <c r="A55" i="8"/>
  <c r="J1" i="8"/>
  <c r="B80" i="2" l="1"/>
  <c r="B79" i="2"/>
  <c r="B316" i="2"/>
  <c r="B131" i="2"/>
  <c r="A197" i="14" l="1"/>
  <c r="B197" i="14"/>
  <c r="C197" i="14"/>
  <c r="E197" i="14"/>
  <c r="G197" i="14"/>
  <c r="H197" i="14"/>
  <c r="I197" i="14"/>
  <c r="J197" i="14"/>
  <c r="K197" i="14"/>
  <c r="L197" i="14"/>
  <c r="G348" i="14" l="1"/>
  <c r="E348" i="14"/>
  <c r="C348" i="14"/>
  <c r="B348" i="14"/>
  <c r="A348" i="14"/>
  <c r="G347" i="14"/>
  <c r="E347" i="14"/>
  <c r="C347" i="14"/>
  <c r="B347" i="14"/>
  <c r="A347" i="14"/>
  <c r="A346" i="14"/>
  <c r="G26" i="14" l="1"/>
  <c r="E26" i="14"/>
  <c r="C26" i="14"/>
  <c r="B26" i="14"/>
  <c r="A26" i="14"/>
  <c r="G103" i="3" l="1"/>
  <c r="G104" i="3"/>
  <c r="J103" i="3" l="1"/>
  <c r="H104" i="3"/>
  <c r="I104" i="3" s="1"/>
  <c r="H103" i="3"/>
  <c r="I103" i="3" s="1"/>
  <c r="J104" i="3"/>
  <c r="K104" i="3" l="1"/>
  <c r="K103" i="3"/>
  <c r="G27" i="3"/>
  <c r="G18" i="8" s="1"/>
  <c r="G28" i="3"/>
  <c r="G28" i="8" s="1"/>
  <c r="G29" i="3"/>
  <c r="G20" i="8" s="1"/>
  <c r="G30" i="3"/>
  <c r="G8" i="8" s="1"/>
  <c r="G31" i="3"/>
  <c r="G32" i="3"/>
  <c r="G19" i="8" s="1"/>
  <c r="G33" i="3"/>
  <c r="G15" i="8" s="1"/>
  <c r="G34" i="3"/>
  <c r="G23" i="8" s="1"/>
  <c r="G35" i="3"/>
  <c r="G22" i="8" s="1"/>
  <c r="G36" i="3"/>
  <c r="G37" i="3"/>
  <c r="G26" i="3"/>
  <c r="G17" i="8" s="1"/>
  <c r="G25" i="3"/>
  <c r="G21" i="8" l="1"/>
  <c r="H32" i="3"/>
  <c r="H34" i="3"/>
  <c r="J37" i="3"/>
  <c r="H37" i="3"/>
  <c r="H30" i="3"/>
  <c r="H26" i="3"/>
  <c r="H33" i="3"/>
  <c r="J36" i="3"/>
  <c r="C80" i="2"/>
  <c r="H36" i="3"/>
  <c r="I36" i="3" s="1"/>
  <c r="C79" i="2"/>
  <c r="H35" i="3"/>
  <c r="H28" i="3"/>
  <c r="J25" i="3"/>
  <c r="H25" i="3"/>
  <c r="H31" i="3"/>
  <c r="H29" i="3"/>
  <c r="H27" i="3"/>
  <c r="K37" i="3" l="1"/>
  <c r="K25" i="3"/>
  <c r="D80" i="2"/>
  <c r="E80" i="2" s="1"/>
  <c r="I25" i="3"/>
  <c r="D79" i="2"/>
  <c r="E79" i="2" s="1"/>
  <c r="K36" i="3"/>
  <c r="I37" i="3"/>
  <c r="H347" i="14" l="1"/>
  <c r="I347" i="14" l="1"/>
  <c r="L347" i="14"/>
  <c r="K347" i="14"/>
  <c r="J347" i="14" l="1"/>
  <c r="D131" i="2" l="1"/>
  <c r="C131" i="2"/>
  <c r="E131" i="2" l="1"/>
  <c r="L348" i="14"/>
  <c r="L349" i="14" s="1"/>
  <c r="K348" i="14"/>
  <c r="K349" i="14" s="1"/>
  <c r="H348" i="14"/>
  <c r="H349" i="14" s="1"/>
  <c r="I348" i="14" l="1"/>
  <c r="I349" i="14" s="1"/>
  <c r="G161" i="3"/>
  <c r="G160" i="3"/>
  <c r="J25" i="8" s="1"/>
  <c r="L25" i="8" s="1"/>
  <c r="J161" i="3" l="1"/>
  <c r="D317" i="2" s="1"/>
  <c r="C317" i="2"/>
  <c r="G163" i="3"/>
  <c r="J160" i="3"/>
  <c r="C316" i="2"/>
  <c r="C321" i="2"/>
  <c r="J348" i="14"/>
  <c r="J349" i="14" s="1"/>
  <c r="H161" i="3"/>
  <c r="I161" i="3" s="1"/>
  <c r="H160" i="3"/>
  <c r="C318" i="2" l="1"/>
  <c r="J29" i="8"/>
  <c r="E317" i="2"/>
  <c r="I160" i="3"/>
  <c r="I163" i="3" s="1"/>
  <c r="H163" i="3"/>
  <c r="K160" i="3"/>
  <c r="J163" i="3"/>
  <c r="D316" i="2"/>
  <c r="E316" i="2" s="1"/>
  <c r="K161" i="3"/>
  <c r="D321" i="2"/>
  <c r="E321" i="2" l="1"/>
  <c r="D318" i="2"/>
  <c r="K163" i="3"/>
  <c r="E318" i="2"/>
  <c r="J35" i="3" l="1"/>
  <c r="K35" i="3" s="1"/>
  <c r="I35" i="3" l="1"/>
  <c r="A20" i="9" l="1"/>
  <c r="A53" i="9" l="1"/>
  <c r="K38" i="14" l="1"/>
  <c r="H38" i="14"/>
  <c r="I38" i="14" l="1"/>
  <c r="H284" i="14"/>
  <c r="K284" i="14"/>
  <c r="J38" i="14" l="1"/>
  <c r="I284" i="14"/>
  <c r="L38" i="14"/>
  <c r="B11" i="9" l="1"/>
  <c r="N11" i="9" s="1"/>
  <c r="J284" i="14"/>
  <c r="L284" i="14"/>
  <c r="B44" i="9" l="1"/>
  <c r="N44" i="9" s="1"/>
  <c r="B3" i="9" l="1"/>
  <c r="N3" i="9" l="1"/>
  <c r="G97" i="3"/>
  <c r="H97" i="3" s="1"/>
  <c r="G98" i="3"/>
  <c r="H98" i="3" l="1"/>
  <c r="J98" i="3"/>
  <c r="J97" i="3"/>
  <c r="I98" i="3" l="1"/>
  <c r="K98" i="3"/>
  <c r="B50" i="8"/>
  <c r="B75" i="2" l="1"/>
  <c r="B76" i="2"/>
  <c r="B77" i="2"/>
  <c r="B78" i="2"/>
  <c r="B74" i="2"/>
  <c r="B71" i="2"/>
  <c r="B72" i="2"/>
  <c r="B73" i="2"/>
  <c r="G102" i="3" l="1"/>
  <c r="J102" i="3" l="1"/>
  <c r="H102" i="3"/>
  <c r="K102" i="3" l="1"/>
  <c r="G51" i="14" l="1"/>
  <c r="E51" i="14"/>
  <c r="C51" i="14"/>
  <c r="B51" i="14"/>
  <c r="A51" i="14"/>
  <c r="A7" i="9" l="1"/>
  <c r="H375" i="14" l="1"/>
  <c r="L375" i="14" l="1"/>
  <c r="J375" i="14"/>
  <c r="F69" i="9" l="1"/>
  <c r="E69" i="9"/>
  <c r="D69" i="9"/>
  <c r="C69" i="9" l="1"/>
  <c r="C73" i="9" s="1"/>
  <c r="H27" i="14" l="1"/>
  <c r="I27" i="14" s="1"/>
  <c r="J27" i="14" s="1"/>
  <c r="H26" i="14"/>
  <c r="K27" i="14" l="1"/>
  <c r="L27" i="14" s="1"/>
  <c r="I26" i="14"/>
  <c r="J26" i="14" s="1"/>
  <c r="K26" i="14"/>
  <c r="L26" i="14" s="1"/>
  <c r="G4" i="14" l="1"/>
  <c r="G108" i="3" l="1"/>
  <c r="J108" i="3" l="1"/>
  <c r="H108" i="3"/>
  <c r="I108" i="3" s="1"/>
  <c r="K108" i="3" l="1"/>
  <c r="G48" i="3"/>
  <c r="J48" i="3" l="1"/>
  <c r="K48" i="3" s="1"/>
  <c r="H48" i="3"/>
  <c r="I48" i="3" l="1"/>
  <c r="H4" i="14" l="1"/>
  <c r="K4" i="14" s="1"/>
  <c r="H289" i="14"/>
  <c r="H291" i="14" s="1"/>
  <c r="I4" i="14" l="1"/>
  <c r="J4" i="14" s="1"/>
  <c r="L4" i="14"/>
  <c r="K289" i="14"/>
  <c r="I289" i="14"/>
  <c r="J289" i="14" l="1"/>
  <c r="J291" i="14" s="1"/>
  <c r="I291" i="14"/>
  <c r="L289" i="14"/>
  <c r="L291" i="14" s="1"/>
  <c r="K291" i="14"/>
  <c r="A24" i="9"/>
  <c r="B129" i="2" l="1"/>
  <c r="G113" i="3" l="1"/>
  <c r="H113" i="3" s="1"/>
  <c r="G114" i="3"/>
  <c r="H114" i="3" s="1"/>
  <c r="G115" i="3"/>
  <c r="H115" i="3" s="1"/>
  <c r="G112" i="3"/>
  <c r="H112" i="3" s="1"/>
  <c r="H116" i="3" l="1"/>
  <c r="G101" i="3" l="1"/>
  <c r="B16" i="9" l="1"/>
  <c r="N16" i="9" s="1"/>
  <c r="J101" i="3"/>
  <c r="H101" i="3"/>
  <c r="K101" i="3" s="1"/>
  <c r="K51" i="14" l="1"/>
  <c r="H51" i="14"/>
  <c r="I51" i="14" l="1"/>
  <c r="L51" i="14" l="1"/>
  <c r="J51" i="14"/>
  <c r="C129" i="2" l="1"/>
  <c r="D129" i="2" l="1"/>
  <c r="E129" i="2" l="1"/>
  <c r="A61" i="9" l="1"/>
  <c r="L2" i="8" l="1"/>
  <c r="D265" i="2" l="1"/>
  <c r="E265" i="2" s="1"/>
  <c r="G91" i="3"/>
  <c r="H91" i="3" s="1"/>
  <c r="G88" i="3"/>
  <c r="G84" i="3"/>
  <c r="J84" i="3" l="1"/>
  <c r="H84" i="3"/>
  <c r="I84" i="3" s="1"/>
  <c r="H88" i="3"/>
  <c r="I88" i="3" s="1"/>
  <c r="J88" i="3"/>
  <c r="K91" i="3"/>
  <c r="K88" i="3" l="1"/>
  <c r="K84" i="3"/>
  <c r="B196" i="14" l="1"/>
  <c r="H372" i="14" l="1"/>
  <c r="J372" i="14" l="1"/>
  <c r="I372" i="14"/>
  <c r="K372" i="14"/>
  <c r="C38" i="3"/>
  <c r="L372" i="14" l="1"/>
  <c r="B53" i="9" s="1"/>
  <c r="N53" i="9" s="1"/>
  <c r="B41" i="2" l="1"/>
  <c r="G4" i="3"/>
  <c r="H19" i="8" s="1"/>
  <c r="L19" i="8" s="1"/>
  <c r="C41" i="2" l="1"/>
  <c r="H4" i="3"/>
  <c r="J4" i="3" s="1"/>
  <c r="D41" i="2" s="1"/>
  <c r="E41" i="2" l="1"/>
  <c r="K4" i="3"/>
  <c r="B40" i="8" l="1"/>
  <c r="G60" i="3" l="1"/>
  <c r="J60" i="3" l="1"/>
  <c r="K60" i="3" s="1"/>
  <c r="H60" i="3"/>
  <c r="G63" i="3"/>
  <c r="G38" i="3"/>
  <c r="I60" i="3" l="1"/>
  <c r="H38" i="3"/>
  <c r="I38" i="3" s="1"/>
  <c r="G39" i="3"/>
  <c r="H63" i="3"/>
  <c r="J38" i="3"/>
  <c r="B45" i="2"/>
  <c r="B40" i="2"/>
  <c r="B39" i="2"/>
  <c r="K38" i="3" l="1"/>
  <c r="H39" i="3"/>
  <c r="I39" i="3" s="1"/>
  <c r="J39" i="3"/>
  <c r="K63" i="3"/>
  <c r="J63" i="3"/>
  <c r="I63" i="3"/>
  <c r="K39" i="3" l="1"/>
  <c r="B378" i="2" l="1"/>
  <c r="G142" i="3" l="1"/>
  <c r="G141" i="3"/>
  <c r="E8" i="8" l="1"/>
  <c r="L8" i="8" s="1"/>
  <c r="H141" i="3"/>
  <c r="I141" i="3" s="1"/>
  <c r="J141" i="3"/>
  <c r="H142" i="3"/>
  <c r="I142" i="3" s="1"/>
  <c r="J142" i="3"/>
  <c r="K142" i="3" s="1"/>
  <c r="C378" i="2"/>
  <c r="D378" i="2" l="1"/>
  <c r="E378" i="2" s="1"/>
  <c r="K141" i="3"/>
  <c r="I215" i="14" l="1"/>
  <c r="K215" i="14"/>
  <c r="A34" i="9"/>
  <c r="G15" i="3" l="1"/>
  <c r="H15" i="3" s="1"/>
  <c r="J15" i="3" s="1"/>
  <c r="G14" i="3"/>
  <c r="H20" i="8" s="1"/>
  <c r="L20" i="8" s="1"/>
  <c r="G11" i="3"/>
  <c r="H11" i="3" s="1"/>
  <c r="J11" i="3" s="1"/>
  <c r="G10" i="3"/>
  <c r="G8" i="3"/>
  <c r="H8" i="3" s="1"/>
  <c r="J8" i="3" s="1"/>
  <c r="H10" i="3" l="1"/>
  <c r="J10" i="3" s="1"/>
  <c r="D44" i="2" s="1"/>
  <c r="H15" i="8"/>
  <c r="L15" i="8" s="1"/>
  <c r="C44" i="2"/>
  <c r="C50" i="8"/>
  <c r="C45" i="2"/>
  <c r="H14" i="3"/>
  <c r="J14" i="3" s="1"/>
  <c r="D45" i="2" s="1"/>
  <c r="I11" i="3"/>
  <c r="K11" i="3"/>
  <c r="H215" i="14"/>
  <c r="I15" i="3"/>
  <c r="K15" i="3"/>
  <c r="L215" i="14"/>
  <c r="I8" i="3"/>
  <c r="K8" i="3"/>
  <c r="B34" i="9" l="1"/>
  <c r="N34" i="9" s="1"/>
  <c r="E45" i="2"/>
  <c r="K10" i="3"/>
  <c r="I10" i="3"/>
  <c r="I14" i="3"/>
  <c r="J215" i="14"/>
  <c r="K14" i="3"/>
  <c r="I75" i="8" l="1"/>
  <c r="K75" i="8"/>
  <c r="H75" i="8"/>
  <c r="I74" i="8"/>
  <c r="K74" i="8"/>
  <c r="H74" i="8"/>
  <c r="I72" i="8"/>
  <c r="K72" i="8"/>
  <c r="H72" i="8"/>
  <c r="I70" i="8"/>
  <c r="K70" i="8"/>
  <c r="H70" i="8"/>
  <c r="A77" i="8" l="1"/>
  <c r="A76" i="8"/>
  <c r="A75" i="8"/>
  <c r="A74" i="8"/>
  <c r="A73" i="8"/>
  <c r="A72" i="8"/>
  <c r="A71" i="8"/>
  <c r="A70" i="8"/>
  <c r="A69" i="8"/>
  <c r="A68" i="8"/>
  <c r="A67" i="8"/>
  <c r="A66" i="8"/>
  <c r="B268" i="2"/>
  <c r="K483" i="14" l="1"/>
  <c r="A1" i="14" l="1"/>
  <c r="A2" i="9" l="1"/>
  <c r="K380" i="14" l="1"/>
  <c r="A48" i="9"/>
  <c r="A42" i="9"/>
  <c r="I245" i="14"/>
  <c r="K245" i="14"/>
  <c r="A40" i="9"/>
  <c r="A55" i="9"/>
  <c r="A45" i="9"/>
  <c r="A5" i="9"/>
  <c r="G2" i="14"/>
  <c r="G3" i="14"/>
  <c r="E3" i="14"/>
  <c r="E2" i="14"/>
  <c r="C2" i="14"/>
  <c r="C3" i="14"/>
  <c r="B3" i="14"/>
  <c r="B2" i="14"/>
  <c r="A62" i="9"/>
  <c r="A47" i="9"/>
  <c r="A26" i="9"/>
  <c r="A37" i="9"/>
  <c r="A36" i="9"/>
  <c r="A46" i="9"/>
  <c r="A31" i="9"/>
  <c r="A44" i="9"/>
  <c r="G41" i="14"/>
  <c r="K41" i="14"/>
  <c r="E41" i="14"/>
  <c r="A41" i="14"/>
  <c r="A8" i="9"/>
  <c r="C41" i="14"/>
  <c r="B41" i="14"/>
  <c r="A68" i="9"/>
  <c r="A6" i="9"/>
  <c r="G382" i="14"/>
  <c r="E382" i="14"/>
  <c r="C382" i="14"/>
  <c r="B382" i="14"/>
  <c r="A29" i="9"/>
  <c r="A64" i="9"/>
  <c r="A50" i="9"/>
  <c r="A230" i="14"/>
  <c r="G230" i="14"/>
  <c r="E230" i="14"/>
  <c r="C230" i="14"/>
  <c r="B230" i="14"/>
  <c r="A196" i="14"/>
  <c r="G196" i="14"/>
  <c r="E196" i="14"/>
  <c r="C196" i="14"/>
  <c r="A374" i="14"/>
  <c r="A17" i="9"/>
  <c r="G374" i="14"/>
  <c r="I374" i="14"/>
  <c r="E374" i="14"/>
  <c r="B374" i="14"/>
  <c r="C374" i="14"/>
  <c r="A54" i="9"/>
  <c r="A58" i="9"/>
  <c r="A49" i="9"/>
  <c r="A39" i="9"/>
  <c r="A52" i="9"/>
  <c r="G465" i="14"/>
  <c r="E465" i="14"/>
  <c r="C465" i="14"/>
  <c r="B465" i="14"/>
  <c r="A465" i="14"/>
  <c r="G464" i="14"/>
  <c r="E464" i="14"/>
  <c r="C464" i="14"/>
  <c r="B464" i="14"/>
  <c r="A464" i="14"/>
  <c r="G463" i="14"/>
  <c r="E463" i="14"/>
  <c r="C463" i="14"/>
  <c r="B463" i="14"/>
  <c r="A463" i="14"/>
  <c r="G19" i="3" l="1"/>
  <c r="H19" i="3" l="1"/>
  <c r="K19" i="3" s="1"/>
  <c r="I19" i="3" l="1"/>
  <c r="H35" i="14" l="1"/>
  <c r="K35" i="14"/>
  <c r="J35" i="14" l="1"/>
  <c r="I35" i="14"/>
  <c r="L35" i="14"/>
  <c r="B7" i="9" s="1"/>
  <c r="N7" i="9" s="1"/>
  <c r="G68" i="3" l="1"/>
  <c r="G69" i="3"/>
  <c r="G70" i="3"/>
  <c r="H70" i="3" s="1"/>
  <c r="I70" i="3" s="1"/>
  <c r="H69" i="3" l="1"/>
  <c r="J68" i="3"/>
  <c r="H68" i="3"/>
  <c r="K68" i="3" s="1"/>
  <c r="J70" i="3"/>
  <c r="K70" i="3" s="1"/>
  <c r="J69" i="3"/>
  <c r="H41" i="14"/>
  <c r="B10" i="9" l="1"/>
  <c r="N10" i="9" s="1"/>
  <c r="H31" i="14"/>
  <c r="I68" i="3"/>
  <c r="K69" i="3"/>
  <c r="J404" i="14"/>
  <c r="I404" i="14"/>
  <c r="I69" i="3"/>
  <c r="I41" i="14"/>
  <c r="L404" i="14"/>
  <c r="B60" i="9" s="1"/>
  <c r="N60" i="9" s="1"/>
  <c r="K404" i="14"/>
  <c r="J41" i="14"/>
  <c r="K31" i="14"/>
  <c r="I31" i="14"/>
  <c r="G18" i="3"/>
  <c r="H18" i="3" s="1"/>
  <c r="J18" i="3" s="1"/>
  <c r="L31" i="14" l="1"/>
  <c r="B6" i="9" s="1"/>
  <c r="N6" i="9" s="1"/>
  <c r="J31" i="14"/>
  <c r="L41" i="14"/>
  <c r="K18" i="3"/>
  <c r="I18" i="3"/>
  <c r="B8" i="9" l="1"/>
  <c r="N8" i="9" s="1"/>
  <c r="G87" i="3" l="1"/>
  <c r="H87" i="3" s="1"/>
  <c r="G89" i="3"/>
  <c r="J89" i="3" l="1"/>
  <c r="H89" i="3"/>
  <c r="J87" i="3"/>
  <c r="K87" i="3" s="1"/>
  <c r="I87" i="3"/>
  <c r="K89" i="3" l="1"/>
  <c r="I89" i="3"/>
  <c r="K210" i="14" l="1"/>
  <c r="H210" i="14" l="1"/>
  <c r="I210" i="14"/>
  <c r="L210" i="14"/>
  <c r="J210" i="14"/>
  <c r="B33" i="9" l="1"/>
  <c r="N33" i="9" s="1"/>
  <c r="G99" i="3"/>
  <c r="K26" i="8" l="1"/>
  <c r="L26" i="8" s="1"/>
  <c r="C209" i="2"/>
  <c r="J99" i="3"/>
  <c r="D209" i="2" s="1"/>
  <c r="H415" i="14"/>
  <c r="H99" i="3"/>
  <c r="B62" i="9"/>
  <c r="N62" i="9" s="1"/>
  <c r="E209" i="2" l="1"/>
  <c r="K99" i="3"/>
  <c r="G149" i="3" l="1"/>
  <c r="G150" i="3"/>
  <c r="G151" i="3"/>
  <c r="G152" i="3"/>
  <c r="G155" i="3"/>
  <c r="C74" i="2" l="1"/>
  <c r="H155" i="3"/>
  <c r="I155" i="3" s="1"/>
  <c r="H151" i="3"/>
  <c r="I151" i="3" s="1"/>
  <c r="J151" i="3"/>
  <c r="H150" i="3"/>
  <c r="I150" i="3" s="1"/>
  <c r="J150" i="3"/>
  <c r="H152" i="3"/>
  <c r="J152" i="3"/>
  <c r="J149" i="3"/>
  <c r="H149" i="3"/>
  <c r="J29" i="3"/>
  <c r="K29" i="3" s="1"/>
  <c r="K206" i="14"/>
  <c r="H206" i="14"/>
  <c r="I102" i="3"/>
  <c r="D74" i="2" l="1"/>
  <c r="E74" i="2" s="1"/>
  <c r="I152" i="3"/>
  <c r="K149" i="3"/>
  <c r="I29" i="3"/>
  <c r="K155" i="3"/>
  <c r="I149" i="3"/>
  <c r="K150" i="3"/>
  <c r="I206" i="14"/>
  <c r="K152" i="3"/>
  <c r="K151" i="3"/>
  <c r="L206" i="14" l="1"/>
  <c r="G50" i="8"/>
  <c r="I50" i="8" s="1"/>
  <c r="J206" i="14"/>
  <c r="B32" i="9" l="1"/>
  <c r="N32" i="9" s="1"/>
  <c r="B70" i="2" l="1"/>
  <c r="G125" i="3"/>
  <c r="H125" i="3" l="1"/>
  <c r="J125" i="3"/>
  <c r="K125" i="3" s="1"/>
  <c r="I125" i="3" l="1"/>
  <c r="K196" i="14" l="1"/>
  <c r="H196" i="14"/>
  <c r="J196" i="14" l="1"/>
  <c r="I196" i="14"/>
  <c r="G138" i="3" l="1"/>
  <c r="J138" i="3" s="1"/>
  <c r="K138" i="3" l="1"/>
  <c r="H138" i="3"/>
  <c r="I138" i="3" s="1"/>
  <c r="C77" i="2" l="1"/>
  <c r="D77" i="2" l="1"/>
  <c r="E77" i="2" s="1"/>
  <c r="J33" i="3"/>
  <c r="K33" i="3" s="1"/>
  <c r="I33" i="3" l="1"/>
  <c r="G17" i="3"/>
  <c r="H17" i="3" l="1"/>
  <c r="J17" i="3" s="1"/>
  <c r="I17" i="3" l="1"/>
  <c r="K17" i="3"/>
  <c r="G106" i="3" l="1"/>
  <c r="J106" i="3" l="1"/>
  <c r="H106" i="3"/>
  <c r="K106" i="3" s="1"/>
  <c r="I106" i="3" l="1"/>
  <c r="H460" i="14"/>
  <c r="G50" i="3"/>
  <c r="G43" i="3"/>
  <c r="G44" i="3"/>
  <c r="G45" i="3"/>
  <c r="G47" i="3"/>
  <c r="G61" i="3"/>
  <c r="G52" i="3"/>
  <c r="G53" i="3"/>
  <c r="G54" i="3"/>
  <c r="G55" i="3"/>
  <c r="G56" i="3"/>
  <c r="G57" i="3"/>
  <c r="G58" i="3"/>
  <c r="G46" i="3"/>
  <c r="J53" i="3" l="1"/>
  <c r="H53" i="3"/>
  <c r="J61" i="3"/>
  <c r="K61" i="3" s="1"/>
  <c r="H61" i="3"/>
  <c r="J44" i="3"/>
  <c r="H44" i="3"/>
  <c r="J43" i="3"/>
  <c r="H43" i="3"/>
  <c r="J52" i="3"/>
  <c r="K52" i="3" s="1"/>
  <c r="H52" i="3"/>
  <c r="J47" i="3"/>
  <c r="K47" i="3" s="1"/>
  <c r="H47" i="3"/>
  <c r="J45" i="3"/>
  <c r="K45" i="3" s="1"/>
  <c r="H45" i="3"/>
  <c r="J46" i="3"/>
  <c r="K46" i="3" s="1"/>
  <c r="H46" i="3"/>
  <c r="J50" i="3"/>
  <c r="H50" i="3"/>
  <c r="J58" i="3"/>
  <c r="K58" i="3" s="1"/>
  <c r="H58" i="3"/>
  <c r="J57" i="3"/>
  <c r="K57" i="3" s="1"/>
  <c r="H57" i="3"/>
  <c r="J56" i="3"/>
  <c r="H56" i="3"/>
  <c r="J55" i="3"/>
  <c r="K55" i="3" s="1"/>
  <c r="H55" i="3"/>
  <c r="J54" i="3"/>
  <c r="H54" i="3"/>
  <c r="I460" i="14"/>
  <c r="K53" i="3" l="1"/>
  <c r="K44" i="3"/>
  <c r="K50" i="3"/>
  <c r="K56" i="3"/>
  <c r="I50" i="3"/>
  <c r="K54" i="3"/>
  <c r="K51" i="3"/>
  <c r="I51" i="3"/>
  <c r="I44" i="3"/>
  <c r="I43" i="3"/>
  <c r="K43" i="3" l="1"/>
  <c r="I45" i="3"/>
  <c r="E394" i="2"/>
  <c r="I47" i="3" l="1"/>
  <c r="B52" i="8"/>
  <c r="B53" i="8"/>
  <c r="B54" i="8"/>
  <c r="B48" i="8"/>
  <c r="B49" i="8"/>
  <c r="B56" i="8"/>
  <c r="B55" i="8"/>
  <c r="B47" i="8"/>
  <c r="B34" i="8"/>
  <c r="B36" i="8"/>
  <c r="B37" i="8"/>
  <c r="B57" i="8"/>
  <c r="B38" i="8"/>
  <c r="B59" i="8"/>
  <c r="B35" i="8"/>
  <c r="B42" i="8"/>
  <c r="B39" i="8"/>
  <c r="B44" i="8"/>
  <c r="B45" i="8"/>
  <c r="B46" i="8"/>
  <c r="I61" i="3" l="1"/>
  <c r="I52" i="3" l="1"/>
  <c r="I53" i="3" l="1"/>
  <c r="I54" i="3" l="1"/>
  <c r="I55" i="3" l="1"/>
  <c r="I56" i="3" l="1"/>
  <c r="I57" i="3" l="1"/>
  <c r="I58" i="3" l="1"/>
  <c r="B377" i="2"/>
  <c r="B42" i="2" l="1"/>
  <c r="B43" i="2"/>
  <c r="B350" i="2" l="1"/>
  <c r="B351" i="2"/>
  <c r="B349" i="2"/>
  <c r="B348" i="2"/>
  <c r="B265" i="2"/>
  <c r="B211" i="2"/>
  <c r="B210" i="2"/>
  <c r="B208" i="2"/>
  <c r="B142" i="2"/>
  <c r="B141" i="2"/>
  <c r="B140" i="2"/>
  <c r="H464" i="14"/>
  <c r="H465" i="14"/>
  <c r="H230" i="14"/>
  <c r="H193" i="14" l="1"/>
  <c r="H127" i="14"/>
  <c r="I343" i="14"/>
  <c r="H124" i="14"/>
  <c r="H397" i="14"/>
  <c r="H219" i="14"/>
  <c r="H93" i="14"/>
  <c r="K460" i="14"/>
  <c r="H444" i="14"/>
  <c r="H198" i="14"/>
  <c r="H354" i="14"/>
  <c r="H463" i="14"/>
  <c r="K382" i="14"/>
  <c r="H382" i="14"/>
  <c r="K343" i="14"/>
  <c r="H343" i="14"/>
  <c r="K391" i="14"/>
  <c r="H391" i="14"/>
  <c r="K369" i="14"/>
  <c r="K374" i="14"/>
  <c r="H374" i="14"/>
  <c r="I230" i="14"/>
  <c r="K230" i="14"/>
  <c r="I465" i="14"/>
  <c r="K465" i="14"/>
  <c r="K127" i="14"/>
  <c r="I470" i="14"/>
  <c r="K193" i="14"/>
  <c r="K354" i="14"/>
  <c r="K463" i="14"/>
  <c r="K198" i="14"/>
  <c r="K397" i="14"/>
  <c r="I464" i="14"/>
  <c r="K464" i="14"/>
  <c r="K124" i="14"/>
  <c r="K470" i="14" l="1"/>
  <c r="K444" i="14"/>
  <c r="K219" i="14"/>
  <c r="I124" i="14"/>
  <c r="I369" i="14"/>
  <c r="I93" i="14"/>
  <c r="I219" i="14"/>
  <c r="H369" i="14"/>
  <c r="K93" i="14"/>
  <c r="I198" i="14"/>
  <c r="I354" i="14"/>
  <c r="I193" i="14"/>
  <c r="I382" i="14"/>
  <c r="I444" i="14"/>
  <c r="I391" i="14"/>
  <c r="I463" i="14"/>
  <c r="I127" i="14"/>
  <c r="I397" i="14"/>
  <c r="I46" i="3"/>
  <c r="J369" i="14" l="1"/>
  <c r="L369" i="14" l="1"/>
  <c r="B52" i="9" s="1"/>
  <c r="N52" i="9" l="1"/>
  <c r="G153" i="3"/>
  <c r="D5" i="8" s="1"/>
  <c r="L5" i="8" s="1"/>
  <c r="J153" i="3" l="1"/>
  <c r="H153" i="3"/>
  <c r="C349" i="2"/>
  <c r="D349" i="2" l="1"/>
  <c r="E349" i="2" s="1"/>
  <c r="K153" i="3"/>
  <c r="K120" i="14"/>
  <c r="I120" i="14"/>
  <c r="H120" i="14"/>
  <c r="L196" i="14"/>
  <c r="I153" i="3"/>
  <c r="L120" i="14" l="1"/>
  <c r="B20" i="9" s="1"/>
  <c r="N20" i="9" s="1"/>
  <c r="J120" i="14" l="1"/>
  <c r="H3" i="14" l="1"/>
  <c r="I3" i="14" l="1"/>
  <c r="K3" i="14" l="1"/>
  <c r="J3" i="14"/>
  <c r="L391" i="14" l="1"/>
  <c r="B57" i="9" s="1"/>
  <c r="N57" i="9" s="1"/>
  <c r="L3" i="14"/>
  <c r="J391" i="14"/>
  <c r="B398" i="2" l="1"/>
  <c r="B397" i="2"/>
  <c r="G156" i="3" l="1"/>
  <c r="D7" i="8" s="1"/>
  <c r="G154" i="3"/>
  <c r="D6" i="8" s="1"/>
  <c r="G148" i="3"/>
  <c r="G147" i="3"/>
  <c r="D4" i="8" s="1"/>
  <c r="H2" i="14"/>
  <c r="H5" i="14" s="1"/>
  <c r="G140" i="3"/>
  <c r="J140" i="3" s="1"/>
  <c r="G139" i="3"/>
  <c r="G137" i="3"/>
  <c r="J137" i="3" s="1"/>
  <c r="G136" i="3"/>
  <c r="G124" i="3"/>
  <c r="G123" i="3"/>
  <c r="G122" i="3"/>
  <c r="E9" i="8" l="1"/>
  <c r="L9" i="8" s="1"/>
  <c r="C41" i="8" s="1"/>
  <c r="L6" i="8"/>
  <c r="L7" i="8"/>
  <c r="K122" i="3"/>
  <c r="G133" i="3"/>
  <c r="C350" i="2"/>
  <c r="C348" i="2"/>
  <c r="J139" i="3"/>
  <c r="G144" i="3"/>
  <c r="J154" i="3"/>
  <c r="H156" i="3"/>
  <c r="J156" i="3"/>
  <c r="C268" i="2"/>
  <c r="C270" i="2" s="1"/>
  <c r="H254" i="14"/>
  <c r="H154" i="3"/>
  <c r="H380" i="14"/>
  <c r="G157" i="3"/>
  <c r="H245" i="14"/>
  <c r="H123" i="3"/>
  <c r="H124" i="3"/>
  <c r="H122" i="3"/>
  <c r="H133" i="3" s="1"/>
  <c r="H147" i="3"/>
  <c r="J147" i="3"/>
  <c r="J136" i="3"/>
  <c r="J144" i="3" s="1"/>
  <c r="C377" i="2"/>
  <c r="H137" i="3"/>
  <c r="I137" i="3" s="1"/>
  <c r="H139" i="3"/>
  <c r="J123" i="3"/>
  <c r="J124" i="3"/>
  <c r="K124" i="3" s="1"/>
  <c r="H148" i="3"/>
  <c r="J148" i="3"/>
  <c r="I2" i="14"/>
  <c r="I5" i="14" s="1"/>
  <c r="K2" i="14"/>
  <c r="K5" i="14" s="1"/>
  <c r="C351" i="2"/>
  <c r="L460" i="14"/>
  <c r="C370" i="2"/>
  <c r="E246" i="2"/>
  <c r="E118" i="2"/>
  <c r="E283" i="2"/>
  <c r="E292" i="2" s="1"/>
  <c r="E297" i="2" s="1"/>
  <c r="E188" i="2"/>
  <c r="H140" i="3"/>
  <c r="I140" i="3" s="1"/>
  <c r="H136" i="3"/>
  <c r="K123" i="3" l="1"/>
  <c r="J133" i="3"/>
  <c r="K133" i="3"/>
  <c r="C57" i="8"/>
  <c r="G57" i="8" s="1"/>
  <c r="D350" i="2"/>
  <c r="E350" i="2" s="1"/>
  <c r="D348" i="2"/>
  <c r="E348" i="2" s="1"/>
  <c r="B66" i="9"/>
  <c r="N66" i="9" s="1"/>
  <c r="C379" i="2"/>
  <c r="I139" i="3"/>
  <c r="K254" i="14"/>
  <c r="C55" i="8"/>
  <c r="C34" i="8"/>
  <c r="J460" i="14"/>
  <c r="C340" i="2"/>
  <c r="K156" i="3"/>
  <c r="H144" i="3"/>
  <c r="K154" i="3"/>
  <c r="D268" i="2"/>
  <c r="E268" i="2" s="1"/>
  <c r="C288" i="2"/>
  <c r="D351" i="2"/>
  <c r="E351" i="2" s="1"/>
  <c r="H276" i="14"/>
  <c r="I254" i="14"/>
  <c r="I380" i="14"/>
  <c r="K276" i="14"/>
  <c r="J157" i="3"/>
  <c r="H157" i="3"/>
  <c r="I124" i="3"/>
  <c r="K148" i="3"/>
  <c r="K147" i="3"/>
  <c r="D377" i="2"/>
  <c r="K137" i="14"/>
  <c r="I137" i="14"/>
  <c r="K241" i="14"/>
  <c r="H137" i="14"/>
  <c r="H241" i="14"/>
  <c r="L2" i="14"/>
  <c r="I148" i="3"/>
  <c r="I147" i="3"/>
  <c r="K140" i="3"/>
  <c r="C373" i="2"/>
  <c r="K139" i="3"/>
  <c r="I156" i="3"/>
  <c r="C274" i="2"/>
  <c r="C352" i="2"/>
  <c r="C356" i="2" s="1"/>
  <c r="H76" i="8" s="1"/>
  <c r="K137" i="3"/>
  <c r="I154" i="3"/>
  <c r="I123" i="3"/>
  <c r="K136" i="3"/>
  <c r="I136" i="3"/>
  <c r="I122" i="3"/>
  <c r="I133" i="3" l="1"/>
  <c r="I144" i="3"/>
  <c r="B45" i="9"/>
  <c r="N45" i="9" s="1"/>
  <c r="E377" i="2"/>
  <c r="D379" i="2"/>
  <c r="I241" i="14"/>
  <c r="C309" i="2"/>
  <c r="D340" i="2"/>
  <c r="I276" i="14"/>
  <c r="K144" i="3"/>
  <c r="D270" i="2"/>
  <c r="D274" i="2" s="1"/>
  <c r="I73" i="8" s="1"/>
  <c r="C383" i="2"/>
  <c r="H77" i="8" s="1"/>
  <c r="C385" i="2"/>
  <c r="D370" i="2"/>
  <c r="D29" i="8"/>
  <c r="J254" i="14"/>
  <c r="K157" i="3"/>
  <c r="L5" i="14"/>
  <c r="B2" i="9" s="1"/>
  <c r="J380" i="14"/>
  <c r="I157" i="3"/>
  <c r="H73" i="8"/>
  <c r="E270" i="2"/>
  <c r="J245" i="14"/>
  <c r="J2" i="14"/>
  <c r="J5" i="14" s="1"/>
  <c r="L254" i="14"/>
  <c r="C343" i="2"/>
  <c r="C358" i="2"/>
  <c r="C76" i="8" s="1"/>
  <c r="C74" i="8"/>
  <c r="E352" i="2"/>
  <c r="D352" i="2"/>
  <c r="D356" i="2" s="1"/>
  <c r="I76" i="8" s="1"/>
  <c r="C312" i="2" l="1"/>
  <c r="C322" i="2"/>
  <c r="E379" i="2"/>
  <c r="E340" i="2"/>
  <c r="B48" i="9"/>
  <c r="N48" i="9" s="1"/>
  <c r="J276" i="14"/>
  <c r="N2" i="9"/>
  <c r="D383" i="2"/>
  <c r="E383" i="2" s="1"/>
  <c r="K77" i="8" s="1"/>
  <c r="E370" i="2"/>
  <c r="E29" i="8"/>
  <c r="C29" i="8"/>
  <c r="L380" i="14"/>
  <c r="B55" i="9" s="1"/>
  <c r="N55" i="9" s="1"/>
  <c r="J137" i="14"/>
  <c r="L276" i="14"/>
  <c r="B42" i="9" s="1"/>
  <c r="N42" i="9" s="1"/>
  <c r="E274" i="2"/>
  <c r="K73" i="8" s="1"/>
  <c r="L137" i="14"/>
  <c r="B24" i="9" s="1"/>
  <c r="N24" i="9" s="1"/>
  <c r="C360" i="2"/>
  <c r="C387" i="2"/>
  <c r="C77" i="8"/>
  <c r="L245" i="14"/>
  <c r="B40" i="9" s="1"/>
  <c r="N40" i="9" s="1"/>
  <c r="E356" i="2"/>
  <c r="K76" i="8" s="1"/>
  <c r="D74" i="8"/>
  <c r="C75" i="8" l="1"/>
  <c r="C323" i="2"/>
  <c r="E309" i="2"/>
  <c r="I77" i="8"/>
  <c r="E74" i="8"/>
  <c r="L74" i="8" s="1"/>
  <c r="G34" i="8" l="1"/>
  <c r="I34" i="8" s="1"/>
  <c r="C276" i="2" l="1"/>
  <c r="C261" i="2"/>
  <c r="C277" i="2" l="1"/>
  <c r="C73" i="8"/>
  <c r="D276" i="2"/>
  <c r="D261" i="2"/>
  <c r="D277" i="2" l="1"/>
  <c r="D73" i="8"/>
  <c r="E276" i="2"/>
  <c r="E261" i="2"/>
  <c r="C235" i="2"/>
  <c r="C239" i="2"/>
  <c r="C72" i="8" s="1"/>
  <c r="E277" i="2" l="1"/>
  <c r="E73" i="8"/>
  <c r="L73" i="8" s="1"/>
  <c r="C240" i="2"/>
  <c r="G109" i="3"/>
  <c r="G105" i="3"/>
  <c r="G107" i="3"/>
  <c r="G100" i="3"/>
  <c r="G96" i="3"/>
  <c r="K27" i="8" l="1"/>
  <c r="L27" i="8" s="1"/>
  <c r="C208" i="2"/>
  <c r="K28" i="8"/>
  <c r="H80" i="14"/>
  <c r="H115" i="14"/>
  <c r="J96" i="3"/>
  <c r="J105" i="3"/>
  <c r="C210" i="2"/>
  <c r="J109" i="3"/>
  <c r="J100" i="3"/>
  <c r="J107" i="3"/>
  <c r="H105" i="3"/>
  <c r="H100" i="3"/>
  <c r="H107" i="3"/>
  <c r="C211" i="2"/>
  <c r="H109" i="3"/>
  <c r="K80" i="14"/>
  <c r="G110" i="3"/>
  <c r="H96" i="3"/>
  <c r="D208" i="2" s="1"/>
  <c r="L28" i="8" l="1"/>
  <c r="C54" i="8" s="1"/>
  <c r="K105" i="3"/>
  <c r="I80" i="14"/>
  <c r="K107" i="3"/>
  <c r="K109" i="3"/>
  <c r="K100" i="3"/>
  <c r="D210" i="2"/>
  <c r="E210" i="2" s="1"/>
  <c r="K96" i="3"/>
  <c r="J110" i="3"/>
  <c r="D211" i="2"/>
  <c r="E211" i="2" s="1"/>
  <c r="K97" i="3"/>
  <c r="C212" i="2"/>
  <c r="C216" i="2" s="1"/>
  <c r="H71" i="8" s="1"/>
  <c r="I109" i="3"/>
  <c r="L80" i="14"/>
  <c r="I115" i="14"/>
  <c r="K115" i="14"/>
  <c r="I105" i="3"/>
  <c r="I107" i="3"/>
  <c r="I96" i="3"/>
  <c r="I100" i="3"/>
  <c r="B14" i="9" l="1"/>
  <c r="N14" i="9" s="1"/>
  <c r="L115" i="14"/>
  <c r="J80" i="14"/>
  <c r="J115" i="14"/>
  <c r="K110" i="3"/>
  <c r="H110" i="3"/>
  <c r="I97" i="3"/>
  <c r="E208" i="2" s="1"/>
  <c r="I99" i="3"/>
  <c r="C217" i="2"/>
  <c r="C71" i="8" s="1"/>
  <c r="C203" i="2"/>
  <c r="H222" i="14"/>
  <c r="H83" i="14"/>
  <c r="H165" i="14"/>
  <c r="G90" i="3"/>
  <c r="F12" i="8" s="1"/>
  <c r="L12" i="8" s="1"/>
  <c r="G81" i="3"/>
  <c r="G83" i="3"/>
  <c r="G85" i="3"/>
  <c r="G86" i="3"/>
  <c r="F14" i="8" l="1"/>
  <c r="C52" i="8"/>
  <c r="B19" i="9"/>
  <c r="N19" i="9" s="1"/>
  <c r="C56" i="8"/>
  <c r="C59" i="8"/>
  <c r="E203" i="2"/>
  <c r="H83" i="3"/>
  <c r="I83" i="3" s="1"/>
  <c r="I110" i="3"/>
  <c r="C142" i="2"/>
  <c r="J90" i="3"/>
  <c r="H90" i="3"/>
  <c r="H81" i="3"/>
  <c r="H85" i="3"/>
  <c r="I85" i="3" s="1"/>
  <c r="H86" i="3"/>
  <c r="I86" i="3" s="1"/>
  <c r="H475" i="14"/>
  <c r="K29" i="8"/>
  <c r="E212" i="2"/>
  <c r="D212" i="2"/>
  <c r="D216" i="2" s="1"/>
  <c r="I71" i="8" s="1"/>
  <c r="C218" i="2"/>
  <c r="H336" i="14"/>
  <c r="J83" i="3"/>
  <c r="J85" i="3"/>
  <c r="J81" i="3"/>
  <c r="J86" i="3"/>
  <c r="K165" i="14"/>
  <c r="I165" i="14"/>
  <c r="D203" i="2"/>
  <c r="L14" i="8" l="1"/>
  <c r="C42" i="8" s="1"/>
  <c r="L4" i="8"/>
  <c r="C36" i="8" s="1"/>
  <c r="K83" i="3"/>
  <c r="K90" i="3"/>
  <c r="C170" i="2"/>
  <c r="K81" i="3"/>
  <c r="K85" i="3"/>
  <c r="K86" i="3"/>
  <c r="D217" i="2"/>
  <c r="D71" i="8" s="1"/>
  <c r="E216" i="2"/>
  <c r="K71" i="8" s="1"/>
  <c r="I90" i="3"/>
  <c r="K475" i="14"/>
  <c r="I336" i="14"/>
  <c r="I83" i="14"/>
  <c r="L83" i="14"/>
  <c r="B15" i="9" s="1"/>
  <c r="N15" i="9" s="1"/>
  <c r="K83" i="14"/>
  <c r="I222" i="14"/>
  <c r="L222" i="14"/>
  <c r="B36" i="9" s="1"/>
  <c r="N36" i="9" s="1"/>
  <c r="K222" i="14"/>
  <c r="I81" i="3"/>
  <c r="J83" i="14"/>
  <c r="J222" i="14"/>
  <c r="G80" i="3"/>
  <c r="G79" i="3"/>
  <c r="F10" i="8" s="1"/>
  <c r="H23" i="14"/>
  <c r="G75" i="3"/>
  <c r="G74" i="3"/>
  <c r="C76" i="2"/>
  <c r="C75" i="2"/>
  <c r="G67" i="3"/>
  <c r="G49" i="3"/>
  <c r="E95" i="2"/>
  <c r="C78" i="2"/>
  <c r="C73" i="2"/>
  <c r="C72" i="2"/>
  <c r="C71" i="2"/>
  <c r="G24" i="3"/>
  <c r="G16" i="8" s="1"/>
  <c r="L10" i="8" l="1"/>
  <c r="I22" i="8"/>
  <c r="L22" i="8" s="1"/>
  <c r="C49" i="8"/>
  <c r="I23" i="8"/>
  <c r="D170" i="2"/>
  <c r="J49" i="3"/>
  <c r="H49" i="3"/>
  <c r="H64" i="3" s="1"/>
  <c r="G64" i="3"/>
  <c r="C108" i="2" s="1"/>
  <c r="E108" i="2" s="1"/>
  <c r="K68" i="8" s="1"/>
  <c r="K336" i="14"/>
  <c r="J475" i="14"/>
  <c r="J165" i="14"/>
  <c r="L475" i="14"/>
  <c r="L165" i="14"/>
  <c r="B27" i="9" s="1"/>
  <c r="N27" i="9" s="1"/>
  <c r="B37" i="9"/>
  <c r="N37" i="9" s="1"/>
  <c r="L336" i="14"/>
  <c r="B47" i="9" s="1"/>
  <c r="N47" i="9" s="1"/>
  <c r="J336" i="14"/>
  <c r="J74" i="3"/>
  <c r="D397" i="2" s="1"/>
  <c r="D78" i="2"/>
  <c r="E78" i="2" s="1"/>
  <c r="H24" i="3"/>
  <c r="D71" i="2"/>
  <c r="E71" i="2" s="1"/>
  <c r="D75" i="2"/>
  <c r="D76" i="2"/>
  <c r="E76" i="2" s="1"/>
  <c r="C140" i="2"/>
  <c r="C145" i="2" s="1"/>
  <c r="H79" i="3"/>
  <c r="D72" i="2"/>
  <c r="E72" i="2" s="1"/>
  <c r="D73" i="2"/>
  <c r="E73" i="2" s="1"/>
  <c r="H80" i="3"/>
  <c r="H202" i="14"/>
  <c r="H485" i="14" s="1"/>
  <c r="D218" i="2"/>
  <c r="E217" i="2"/>
  <c r="E71" i="8" s="1"/>
  <c r="L71" i="8" s="1"/>
  <c r="G40" i="3"/>
  <c r="B26" i="9"/>
  <c r="N26" i="9" s="1"/>
  <c r="G93" i="3"/>
  <c r="H67" i="3"/>
  <c r="K67" i="3" s="1"/>
  <c r="K71" i="3" s="1"/>
  <c r="H131" i="14"/>
  <c r="J79" i="3"/>
  <c r="L79" i="3"/>
  <c r="G71" i="3"/>
  <c r="J31" i="3"/>
  <c r="K31" i="3" s="1"/>
  <c r="J26" i="3"/>
  <c r="K26" i="3" s="1"/>
  <c r="J32" i="3"/>
  <c r="K32" i="3" s="1"/>
  <c r="J30" i="3"/>
  <c r="K30" i="3" s="1"/>
  <c r="J34" i="3"/>
  <c r="K34" i="3" s="1"/>
  <c r="C70" i="2"/>
  <c r="J24" i="3"/>
  <c r="J27" i="3"/>
  <c r="K27" i="3" s="1"/>
  <c r="J28" i="3"/>
  <c r="K28" i="3" s="1"/>
  <c r="J80" i="3"/>
  <c r="J75" i="3"/>
  <c r="D398" i="2" s="1"/>
  <c r="H75" i="3"/>
  <c r="I75" i="3" s="1"/>
  <c r="J67" i="3"/>
  <c r="C179" i="2"/>
  <c r="C70" i="8" s="1"/>
  <c r="C173" i="2"/>
  <c r="D173" i="2" s="1"/>
  <c r="E173" i="2" s="1"/>
  <c r="C397" i="2"/>
  <c r="C398" i="2"/>
  <c r="G76" i="3"/>
  <c r="H74" i="3"/>
  <c r="I74" i="3" s="1"/>
  <c r="L23" i="8" l="1"/>
  <c r="C48" i="8" s="1"/>
  <c r="E170" i="2"/>
  <c r="C39" i="8"/>
  <c r="G39" i="8" s="1"/>
  <c r="I39" i="8" s="1"/>
  <c r="K80" i="3"/>
  <c r="K24" i="3"/>
  <c r="E75" i="2"/>
  <c r="C81" i="2"/>
  <c r="C88" i="2" s="1"/>
  <c r="J93" i="3"/>
  <c r="K79" i="3"/>
  <c r="H93" i="3"/>
  <c r="D70" i="2"/>
  <c r="D81" i="2" s="1"/>
  <c r="D88" i="2" s="1"/>
  <c r="H76" i="3"/>
  <c r="I76" i="3" s="1"/>
  <c r="E218" i="2"/>
  <c r="J40" i="3"/>
  <c r="H40" i="3"/>
  <c r="I483" i="14"/>
  <c r="I80" i="3"/>
  <c r="L30" i="8"/>
  <c r="I49" i="3"/>
  <c r="I64" i="3" s="1"/>
  <c r="G42" i="8"/>
  <c r="I42" i="8" s="1"/>
  <c r="J71" i="3"/>
  <c r="C180" i="2"/>
  <c r="C149" i="2"/>
  <c r="H69" i="8" s="1"/>
  <c r="H71" i="3"/>
  <c r="I202" i="14"/>
  <c r="B13" i="9"/>
  <c r="N13" i="9" s="1"/>
  <c r="K74" i="3"/>
  <c r="G55" i="8"/>
  <c r="I55" i="8" s="1"/>
  <c r="J76" i="3"/>
  <c r="K76" i="3" s="1"/>
  <c r="J64" i="3"/>
  <c r="I31" i="3"/>
  <c r="C99" i="2"/>
  <c r="K75" i="3"/>
  <c r="C399" i="2"/>
  <c r="H78" i="8" s="1"/>
  <c r="E397" i="2"/>
  <c r="E398" i="2"/>
  <c r="D399" i="2"/>
  <c r="I78" i="8" s="1"/>
  <c r="I34" i="3"/>
  <c r="I67" i="3"/>
  <c r="I28" i="3"/>
  <c r="I30" i="3"/>
  <c r="I32" i="3"/>
  <c r="I27" i="3"/>
  <c r="I26" i="3"/>
  <c r="I79" i="3"/>
  <c r="I24" i="3"/>
  <c r="G16" i="3"/>
  <c r="G12" i="3"/>
  <c r="G9" i="3"/>
  <c r="H17" i="8" s="1"/>
  <c r="L17" i="8" s="1"/>
  <c r="G7" i="3"/>
  <c r="H18" i="8" s="1"/>
  <c r="L18" i="8" s="1"/>
  <c r="G3" i="3"/>
  <c r="G2" i="3"/>
  <c r="H16" i="8" s="1"/>
  <c r="L16" i="8" s="1"/>
  <c r="H21" i="8" l="1"/>
  <c r="L21" i="8"/>
  <c r="C58" i="8" s="1"/>
  <c r="G58" i="8" s="1"/>
  <c r="I58" i="8" s="1"/>
  <c r="C86" i="2"/>
  <c r="H67" i="8" s="1"/>
  <c r="C44" i="8"/>
  <c r="C46" i="8"/>
  <c r="C45" i="8"/>
  <c r="C37" i="8"/>
  <c r="C51" i="8"/>
  <c r="G51" i="8" s="1"/>
  <c r="I51" i="8" s="1"/>
  <c r="C38" i="8"/>
  <c r="G38" i="8" s="1"/>
  <c r="I38" i="8" s="1"/>
  <c r="C53" i="8"/>
  <c r="G53" i="8" s="1"/>
  <c r="I53" i="8" s="1"/>
  <c r="H12" i="3"/>
  <c r="J12" i="3" s="1"/>
  <c r="K49" i="3"/>
  <c r="K64" i="3" s="1"/>
  <c r="K93" i="3"/>
  <c r="I93" i="3"/>
  <c r="D145" i="2"/>
  <c r="D149" i="2" s="1"/>
  <c r="I69" i="8" s="1"/>
  <c r="H3" i="3"/>
  <c r="J3" i="3" s="1"/>
  <c r="D40" i="2" s="1"/>
  <c r="E70" i="2"/>
  <c r="E81" i="2" s="1"/>
  <c r="E88" i="2" s="1"/>
  <c r="K202" i="14"/>
  <c r="L202" i="14"/>
  <c r="I29" i="8"/>
  <c r="G54" i="8"/>
  <c r="I54" i="8" s="1"/>
  <c r="I40" i="3"/>
  <c r="K40" i="3"/>
  <c r="H68" i="8"/>
  <c r="C110" i="2"/>
  <c r="J483" i="14"/>
  <c r="L483" i="14"/>
  <c r="K131" i="14"/>
  <c r="L23" i="14"/>
  <c r="B4" i="9" s="1"/>
  <c r="J23" i="14"/>
  <c r="I23" i="14"/>
  <c r="K23" i="14"/>
  <c r="I131" i="14"/>
  <c r="I485" i="14" s="1"/>
  <c r="J131" i="14"/>
  <c r="C42" i="2"/>
  <c r="H7" i="3"/>
  <c r="J7" i="3" s="1"/>
  <c r="D42" i="2" s="1"/>
  <c r="C43" i="2"/>
  <c r="H9" i="3"/>
  <c r="J9" i="3" s="1"/>
  <c r="D43" i="2" s="1"/>
  <c r="H16" i="3"/>
  <c r="J16" i="3" s="1"/>
  <c r="C39" i="2"/>
  <c r="H2" i="3"/>
  <c r="J2" i="3" s="1"/>
  <c r="D39" i="2" s="1"/>
  <c r="C103" i="2"/>
  <c r="I71" i="3"/>
  <c r="G20" i="3"/>
  <c r="D99" i="2"/>
  <c r="D110" i="2" s="1"/>
  <c r="D68" i="8" s="1"/>
  <c r="J202" i="14"/>
  <c r="D86" i="2"/>
  <c r="I67" i="8" s="1"/>
  <c r="C135" i="2"/>
  <c r="C150" i="2"/>
  <c r="C69" i="8" s="1"/>
  <c r="E399" i="2"/>
  <c r="K78" i="8" s="1"/>
  <c r="L78" i="8" s="1"/>
  <c r="C40" i="2"/>
  <c r="B31" i="9" l="1"/>
  <c r="N31" i="9" s="1"/>
  <c r="K485" i="14"/>
  <c r="B70" i="9" s="1"/>
  <c r="N70" i="9" s="1"/>
  <c r="N4" i="9"/>
  <c r="E110" i="2"/>
  <c r="E68" i="8" s="1"/>
  <c r="B68" i="9"/>
  <c r="N68" i="9" s="1"/>
  <c r="E135" i="2"/>
  <c r="C47" i="8"/>
  <c r="G52" i="8"/>
  <c r="I52" i="8" s="1"/>
  <c r="E44" i="2"/>
  <c r="E42" i="2"/>
  <c r="E43" i="2"/>
  <c r="D46" i="2"/>
  <c r="E40" i="2"/>
  <c r="E39" i="2"/>
  <c r="G41" i="8"/>
  <c r="F29" i="8"/>
  <c r="E145" i="2"/>
  <c r="E149" i="2" s="1"/>
  <c r="K69" i="8" s="1"/>
  <c r="G29" i="8"/>
  <c r="B18" i="9"/>
  <c r="N18" i="9" s="1"/>
  <c r="C46" i="2"/>
  <c r="C50" i="2" s="1"/>
  <c r="H66" i="8" s="1"/>
  <c r="H79" i="8" s="1"/>
  <c r="J20" i="3"/>
  <c r="G36" i="8"/>
  <c r="I36" i="8" s="1"/>
  <c r="G48" i="8"/>
  <c r="I48" i="8" s="1"/>
  <c r="G49" i="8"/>
  <c r="I49" i="8" s="1"/>
  <c r="G56" i="8"/>
  <c r="I56" i="8" s="1"/>
  <c r="D103" i="2"/>
  <c r="C113" i="2"/>
  <c r="K9" i="3"/>
  <c r="K12" i="3"/>
  <c r="C151" i="2"/>
  <c r="K2" i="3"/>
  <c r="H20" i="3"/>
  <c r="K16" i="3"/>
  <c r="C35" i="8" s="1"/>
  <c r="G35" i="8" s="1"/>
  <c r="I35" i="8" s="1"/>
  <c r="I401" i="14"/>
  <c r="K401" i="14"/>
  <c r="E99" i="2"/>
  <c r="K3" i="3"/>
  <c r="E86" i="2"/>
  <c r="K67" i="8" s="1"/>
  <c r="K7" i="3"/>
  <c r="I57" i="8"/>
  <c r="I16" i="3"/>
  <c r="I7" i="3"/>
  <c r="D150" i="2"/>
  <c r="D69" i="8" s="1"/>
  <c r="D135" i="2"/>
  <c r="I2" i="3"/>
  <c r="I12" i="3"/>
  <c r="I9" i="3"/>
  <c r="I3" i="3"/>
  <c r="C67" i="8"/>
  <c r="I41" i="8" l="1"/>
  <c r="C40" i="8"/>
  <c r="C60" i="8" s="1"/>
  <c r="L29" i="8"/>
  <c r="L31" i="8" s="1"/>
  <c r="G46" i="8"/>
  <c r="I46" i="8" s="1"/>
  <c r="E103" i="2"/>
  <c r="D50" i="2"/>
  <c r="I66" i="8" s="1"/>
  <c r="C90" i="2"/>
  <c r="D151" i="2"/>
  <c r="I20" i="3"/>
  <c r="K20" i="3"/>
  <c r="C68" i="8"/>
  <c r="J401" i="14"/>
  <c r="E150" i="2"/>
  <c r="E69" i="8" s="1"/>
  <c r="L69" i="8" s="1"/>
  <c r="L401" i="14" l="1"/>
  <c r="B59" i="9" s="1"/>
  <c r="N59" i="9" s="1"/>
  <c r="G40" i="8"/>
  <c r="I40" i="8" s="1"/>
  <c r="G45" i="8"/>
  <c r="I45" i="8" s="1"/>
  <c r="G59" i="8"/>
  <c r="E46" i="2"/>
  <c r="E50" i="2" s="1"/>
  <c r="K66" i="8" s="1"/>
  <c r="H29" i="8"/>
  <c r="E151" i="2"/>
  <c r="I59" i="8" l="1"/>
  <c r="G44" i="8"/>
  <c r="I44" i="8" s="1"/>
  <c r="G37" i="8"/>
  <c r="I37" i="8" l="1"/>
  <c r="G47" i="8"/>
  <c r="G60" i="8" s="1"/>
  <c r="D67" i="8"/>
  <c r="C35" i="2" l="1"/>
  <c r="I47" i="8"/>
  <c r="I60" i="8" s="1"/>
  <c r="D90" i="2"/>
  <c r="C52" i="2"/>
  <c r="C66" i="8" s="1"/>
  <c r="C54" i="2" l="1"/>
  <c r="C79" i="8"/>
  <c r="F82" i="8" s="1"/>
  <c r="H82" i="8" s="1"/>
  <c r="L463" i="14"/>
  <c r="J463" i="14" l="1"/>
  <c r="L464" i="14"/>
  <c r="J464" i="14"/>
  <c r="B63" i="9" l="1"/>
  <c r="N63" i="9" s="1"/>
  <c r="J465" i="14"/>
  <c r="L465" i="14"/>
  <c r="L470" i="14" l="1"/>
  <c r="J470" i="14"/>
  <c r="B67" i="9" l="1"/>
  <c r="N67" i="9" s="1"/>
  <c r="J241" i="14"/>
  <c r="B39" i="9"/>
  <c r="N39" i="9" s="1"/>
  <c r="L124" i="14"/>
  <c r="B21" i="9" s="1"/>
  <c r="N21" i="9" s="1"/>
  <c r="J124" i="14" l="1"/>
  <c r="L343" i="14"/>
  <c r="B49" i="9" s="1"/>
  <c r="N49" i="9" s="1"/>
  <c r="J343" i="14" l="1"/>
  <c r="L127" i="14"/>
  <c r="B22" i="9" l="1"/>
  <c r="N22" i="9" s="1"/>
  <c r="J127" i="14"/>
  <c r="J397" i="14" l="1"/>
  <c r="L397" i="14"/>
  <c r="B58" i="9" s="1"/>
  <c r="N58" i="9" s="1"/>
  <c r="J374" i="14" l="1"/>
  <c r="L374" i="14"/>
  <c r="B54" i="9" s="1"/>
  <c r="N54" i="9" l="1"/>
  <c r="L93" i="14"/>
  <c r="B17" i="9" s="1"/>
  <c r="N17" i="9" l="1"/>
  <c r="J93" i="14"/>
  <c r="L198" i="14" l="1"/>
  <c r="B30" i="9" s="1"/>
  <c r="N30" i="9" s="1"/>
  <c r="J198" i="14"/>
  <c r="L354" i="14" l="1"/>
  <c r="B50" i="9" s="1"/>
  <c r="N50" i="9" s="1"/>
  <c r="J354" i="14"/>
  <c r="L444" i="14" l="1"/>
  <c r="B64" i="9" l="1"/>
  <c r="N64" i="9" s="1"/>
  <c r="J444" i="14"/>
  <c r="L193" i="14" l="1"/>
  <c r="B29" i="9" s="1"/>
  <c r="N29" i="9" s="1"/>
  <c r="L382" i="14"/>
  <c r="J193" i="14" l="1"/>
  <c r="J382" i="14"/>
  <c r="J219" i="14" l="1"/>
  <c r="J485" i="14" s="1"/>
  <c r="L219" i="14"/>
  <c r="L230" i="14"/>
  <c r="B35" i="9" l="1"/>
  <c r="N35" i="9" s="1"/>
  <c r="J230" i="14"/>
  <c r="E67" i="8"/>
  <c r="L67" i="8" s="1"/>
  <c r="E90" i="2" l="1"/>
  <c r="B38" i="9"/>
  <c r="N38" i="9" s="1"/>
  <c r="B61" i="9" l="1"/>
  <c r="N61" i="9" l="1"/>
  <c r="D113" i="2"/>
  <c r="I79" i="8" l="1"/>
  <c r="E113" i="2" l="1"/>
  <c r="K79" i="8"/>
  <c r="L68" i="8" l="1"/>
  <c r="L131" i="14"/>
  <c r="L485" i="14" s="1"/>
  <c r="B23" i="9" l="1"/>
  <c r="N23" i="9" l="1"/>
  <c r="N69" i="9" s="1"/>
  <c r="N71" i="9" s="1"/>
  <c r="B69" i="9"/>
  <c r="B71" i="9" s="1"/>
  <c r="H69" i="9"/>
  <c r="E2" i="2" l="1"/>
  <c r="D35" i="2"/>
  <c r="D52" i="2"/>
  <c r="E157" i="2"/>
  <c r="E179" i="2" s="1"/>
  <c r="D179" i="2"/>
  <c r="E328" i="2"/>
  <c r="D343" i="2"/>
  <c r="D358" i="2"/>
  <c r="E223" i="2"/>
  <c r="D235" i="2"/>
  <c r="D239" i="2"/>
  <c r="D72" i="8" l="1"/>
  <c r="D240" i="2"/>
  <c r="E364" i="2"/>
  <c r="D373" i="2"/>
  <c r="D385" i="2"/>
  <c r="D76" i="8"/>
  <c r="E76" i="8" s="1"/>
  <c r="L76" i="8" s="1"/>
  <c r="D360" i="2"/>
  <c r="D66" i="8"/>
  <c r="D54" i="2"/>
  <c r="E239" i="2"/>
  <c r="E235" i="2"/>
  <c r="E358" i="2"/>
  <c r="E360" i="2" s="1"/>
  <c r="E343" i="2"/>
  <c r="E70" i="8"/>
  <c r="L70" i="8" s="1"/>
  <c r="E180" i="2"/>
  <c r="E301" i="2"/>
  <c r="D322" i="2"/>
  <c r="D312" i="2"/>
  <c r="D70" i="8"/>
  <c r="D180" i="2"/>
  <c r="E52" i="2"/>
  <c r="E35" i="2"/>
  <c r="E322" i="2" l="1"/>
  <c r="E312" i="2"/>
  <c r="E240" i="2"/>
  <c r="E72" i="8"/>
  <c r="L72" i="8" s="1"/>
  <c r="D77" i="8"/>
  <c r="D387" i="2"/>
  <c r="E373" i="2"/>
  <c r="E385" i="2"/>
  <c r="E66" i="8"/>
  <c r="L66" i="8" s="1"/>
  <c r="E54" i="2"/>
  <c r="D323" i="2"/>
  <c r="D75" i="8"/>
  <c r="D79" i="8" l="1"/>
  <c r="F83" i="8" s="1"/>
  <c r="F84" i="8" s="1"/>
  <c r="E387" i="2"/>
  <c r="E77" i="8"/>
  <c r="L77" i="8" s="1"/>
  <c r="E323" i="2"/>
  <c r="E75" i="8"/>
  <c r="L75" i="8" s="1"/>
  <c r="H83" i="8" l="1"/>
  <c r="H84" i="8" s="1"/>
  <c r="E79" i="8"/>
  <c r="L7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G130" authorId="0" shapeId="0" xr:uid="{16CAC893-05DB-4297-9C50-0BE6FCF3CD63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100 tl zam h elbek bilgi dahilinde</t>
        </r>
      </text>
    </comment>
    <comment ref="E154" authorId="0" shapeId="0" xr:uid="{5A68E3E4-98ED-45F2-A336-8DAE844EFC4A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27 lik</t>
        </r>
      </text>
    </comment>
    <comment ref="G154" authorId="0" shapeId="0" xr:uid="{05C086F9-CE87-41E1-BB7C-7E4D1EB7E33C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17 lik 1250
27 lik 1600</t>
        </r>
      </text>
    </comment>
    <comment ref="F278" authorId="0" shapeId="0" xr:uid="{3AAF2C47-5DF9-447B-97BC-6838EAD0B8DF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54 S 0566 YERİNE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C129" authorId="0" shapeId="0" xr:uid="{03B3C686-641A-4827-BD1D-A689530B9A00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07,05,2025 DE BAŞLADI</t>
        </r>
      </text>
    </comment>
    <comment ref="A147" authorId="0" shapeId="0" xr:uid="{8F639E8A-18E7-44C4-BD76-EDA37688EDB3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UZADI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D11" authorId="0" shapeId="0" xr:uid="{7EFC5CAC-55A0-4D17-8B6A-7BA47878375B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ada vega 5*1500</t>
        </r>
      </text>
    </comment>
    <comment ref="D18" authorId="0" shapeId="0" xr:uid="{33312DC5-7418-4130-B089-6E09A28804DA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ada vega 1*1500</t>
        </r>
      </text>
    </comment>
    <comment ref="D63" authorId="0" shapeId="0" xr:uid="{0DCF034D-C3E8-47A0-8E17-D71798D581AA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3*1500 ada vega</t>
        </r>
      </text>
    </comment>
  </commentList>
</comments>
</file>

<file path=xl/sharedStrings.xml><?xml version="1.0" encoding="utf-8"?>
<sst xmlns="http://schemas.openxmlformats.org/spreadsheetml/2006/main" count="2397" uniqueCount="619">
  <si>
    <t>ŞAHIS</t>
  </si>
  <si>
    <t>PLAKA</t>
  </si>
  <si>
    <t>TUTAR</t>
  </si>
  <si>
    <t>TOPLAM</t>
  </si>
  <si>
    <t>ARA TOP</t>
  </si>
  <si>
    <t>G TOPLAM</t>
  </si>
  <si>
    <t>PATATES HALİ</t>
  </si>
  <si>
    <t>UFUK KÖYMEN</t>
  </si>
  <si>
    <t>54 S 0813</t>
  </si>
  <si>
    <t>GİRİŞ/ÇIKIŞ</t>
  </si>
  <si>
    <t>MESAİ</t>
  </si>
  <si>
    <t>KORUCUK EVRENKÖY</t>
  </si>
  <si>
    <t>YALÇIN DAMAR</t>
  </si>
  <si>
    <t>MEHMET ANLAŞ</t>
  </si>
  <si>
    <t>ERMAN TUR</t>
  </si>
  <si>
    <t>NEVZAT ÖZBAY</t>
  </si>
  <si>
    <t>SERKAN AKKOYUN</t>
  </si>
  <si>
    <t>SAPANCA</t>
  </si>
  <si>
    <t>MEHMET SERDAROĞLU</t>
  </si>
  <si>
    <t>SALİH ÖZTAŞ</t>
  </si>
  <si>
    <t>AKYAZI</t>
  </si>
  <si>
    <t>GÖKHAN IŞIK</t>
  </si>
  <si>
    <t>AKYAZI MESAİ</t>
  </si>
  <si>
    <t>VEYSEL KARATAŞ</t>
  </si>
  <si>
    <t>GÜVEN TUR</t>
  </si>
  <si>
    <t>KARAMAN EVRENKÖY</t>
  </si>
  <si>
    <t>SERCAN AVCI</t>
  </si>
  <si>
    <t>İBRAHİM AKKUŞ</t>
  </si>
  <si>
    <t>VRD</t>
  </si>
  <si>
    <t>BAŞAK TRAKTÖR</t>
  </si>
  <si>
    <t>MATRAH</t>
  </si>
  <si>
    <t>KDV</t>
  </si>
  <si>
    <t>G.TOPLAM</t>
  </si>
  <si>
    <t>OZANLAR</t>
  </si>
  <si>
    <t>54 S 0562</t>
  </si>
  <si>
    <t>SERDİVAN 1</t>
  </si>
  <si>
    <t>54 S 0857</t>
  </si>
  <si>
    <t>ASİL TUR</t>
  </si>
  <si>
    <t>GRŞ/ÇIK</t>
  </si>
  <si>
    <t>54 S 0560</t>
  </si>
  <si>
    <t>KORUCUK YAZLIK</t>
  </si>
  <si>
    <t>54 S 0564</t>
  </si>
  <si>
    <t>CAMİLİ KARAMAN</t>
  </si>
  <si>
    <t>54 S 0565</t>
  </si>
  <si>
    <t>ÇARŞI MESAİ</t>
  </si>
  <si>
    <t>54 S 0567</t>
  </si>
  <si>
    <t>KADİR TUNCEL</t>
  </si>
  <si>
    <t>TEK</t>
  </si>
  <si>
    <t>TÜRESAŞ</t>
  </si>
  <si>
    <t>MEKECE</t>
  </si>
  <si>
    <t>GEYVE</t>
  </si>
  <si>
    <t>SERKAN KASAP</t>
  </si>
  <si>
    <t>KURTKÖY</t>
  </si>
  <si>
    <t>HAMDİ ÖCAL SAPANCA SYH</t>
  </si>
  <si>
    <t>ŞABAN ŞİRİN</t>
  </si>
  <si>
    <t>TÜRESAŞ  PERSONEL</t>
  </si>
  <si>
    <t>TÜRESAŞ  ARAÇ</t>
  </si>
  <si>
    <t>YILDIRIM KARDEŞLER</t>
  </si>
  <si>
    <t>ÖZCAN KURT</t>
  </si>
  <si>
    <t>PICK-UP</t>
  </si>
  <si>
    <t>BİNEK</t>
  </si>
  <si>
    <t>VITO</t>
  </si>
  <si>
    <t>54 TR 451</t>
  </si>
  <si>
    <t>54 TR 230</t>
  </si>
  <si>
    <t>54 ADP 558</t>
  </si>
  <si>
    <t>54 AGH 602</t>
  </si>
  <si>
    <t>54 AGH 180</t>
  </si>
  <si>
    <t>54 S 0855</t>
  </si>
  <si>
    <t>54 S 0571</t>
  </si>
  <si>
    <t>YENİKENT DİYALİZ</t>
  </si>
  <si>
    <t>54 S 0568</t>
  </si>
  <si>
    <t>54 S 0572</t>
  </si>
  <si>
    <t>54 S 0569</t>
  </si>
  <si>
    <t>54 S 0859</t>
  </si>
  <si>
    <t>ORMAN İŞLETME</t>
  </si>
  <si>
    <t>ALYAN GIDA</t>
  </si>
  <si>
    <t>ADAPAZARI1</t>
  </si>
  <si>
    <t>ÇİFT</t>
  </si>
  <si>
    <t>ADAPAZARI 2</t>
  </si>
  <si>
    <t>AHMET ATABEK</t>
  </si>
  <si>
    <t>54 S 1187</t>
  </si>
  <si>
    <t>HENDEK KÖPRÜBAŞI</t>
  </si>
  <si>
    <t>HALİL BÜYÜKTANZİM</t>
  </si>
  <si>
    <t>54 S 2513</t>
  </si>
  <si>
    <t>54 S 2849</t>
  </si>
  <si>
    <t>HENDEK MEMUR</t>
  </si>
  <si>
    <t>ADİL YILMAZ</t>
  </si>
  <si>
    <t>54 S 0657</t>
  </si>
  <si>
    <t>HENDEK YENİMAHALLE</t>
  </si>
  <si>
    <t>MUSTAFA KARAGÜZEL</t>
  </si>
  <si>
    <t>54 S 1291</t>
  </si>
  <si>
    <t>HENDEK DÜZYAZI/PUNA</t>
  </si>
  <si>
    <t>HENDEK MERKEZ ÇARŞI</t>
  </si>
  <si>
    <t>54 S 1592</t>
  </si>
  <si>
    <t>HENDEK KARATOPRAK</t>
  </si>
  <si>
    <t>54 S 0573</t>
  </si>
  <si>
    <t>HENDEK KOCAAHMET</t>
  </si>
  <si>
    <t>HENDEK SU KENARI</t>
  </si>
  <si>
    <t>54 S 1651</t>
  </si>
  <si>
    <t>54 S 2889</t>
  </si>
  <si>
    <t>ADAPAZARI 3</t>
  </si>
  <si>
    <t>54 S 0561</t>
  </si>
  <si>
    <t>GEDİK DÖKÜM</t>
  </si>
  <si>
    <t>GRŞ/ÇIKIŞ</t>
  </si>
  <si>
    <t>CEVDET KARAGÜZEL</t>
  </si>
  <si>
    <t>İBRAHİM DER</t>
  </si>
  <si>
    <t>HENDEK 6 HANTEK</t>
  </si>
  <si>
    <t>İSMAİL AÇIKDENİZ</t>
  </si>
  <si>
    <t>54 S 1747</t>
  </si>
  <si>
    <t>FEHİM YALÇINKAYA</t>
  </si>
  <si>
    <t>54 S 2473</t>
  </si>
  <si>
    <t>MUSTAFA ÖNAL</t>
  </si>
  <si>
    <t>54 S 0476</t>
  </si>
  <si>
    <t>54 S 2661</t>
  </si>
  <si>
    <t>EMİRCAN KURT</t>
  </si>
  <si>
    <t>54 S 1392</t>
  </si>
  <si>
    <t>GEDİK KAYNAK</t>
  </si>
  <si>
    <t>54 S 0563</t>
  </si>
  <si>
    <t>54 S 0858</t>
  </si>
  <si>
    <t>54 S 0856</t>
  </si>
  <si>
    <t>1 ADAPAZARI   VRD</t>
  </si>
  <si>
    <t>1 ADAPAZARI 20 ÇIKIŞ</t>
  </si>
  <si>
    <t>1 ADAPAZARI PAZAR MESAİ</t>
  </si>
  <si>
    <t>1 ADAPAZARI KORUCUK</t>
  </si>
  <si>
    <t xml:space="preserve">2 ADAPAZARI </t>
  </si>
  <si>
    <t>54 S 0397</t>
  </si>
  <si>
    <t>54 S 2701</t>
  </si>
  <si>
    <t>AKYAZI KÖY</t>
  </si>
  <si>
    <t>ÇAMLICA</t>
  </si>
  <si>
    <t>TAVSAN</t>
  </si>
  <si>
    <t>ADAPAZARI KORUCUK</t>
  </si>
  <si>
    <t xml:space="preserve">1//HENDEK </t>
  </si>
  <si>
    <t>AKŞAM TEK</t>
  </si>
  <si>
    <t>ABDURRAHMAN ONAT</t>
  </si>
  <si>
    <t>MURAT ESEN</t>
  </si>
  <si>
    <t>BURDA BEBEK</t>
  </si>
  <si>
    <t>BAYRAM YILMAZ</t>
  </si>
  <si>
    <t>54 S 0798</t>
  </si>
  <si>
    <t>BARIŞ YILMAZ</t>
  </si>
  <si>
    <t>54 S 1284</t>
  </si>
  <si>
    <t>CUMA</t>
  </si>
  <si>
    <t>54 S 0216</t>
  </si>
  <si>
    <t>54 S 2874</t>
  </si>
  <si>
    <t>ADAPAZARI</t>
  </si>
  <si>
    <t>ADAPAZARI//GÜNEŞLER</t>
  </si>
  <si>
    <t>54 S 0860</t>
  </si>
  <si>
    <t>54 S 0566</t>
  </si>
  <si>
    <t>ADAPAZARI GİRİŞ</t>
  </si>
  <si>
    <t>SAMET ERİŞİR</t>
  </si>
  <si>
    <t>GİRİŞ ÇIKIŞ</t>
  </si>
  <si>
    <t>MEHMET ELLİİKİ</t>
  </si>
  <si>
    <t>MEHMET AVAR</t>
  </si>
  <si>
    <t>BURSA PLASTIK</t>
  </si>
  <si>
    <t>KORUCUK</t>
  </si>
  <si>
    <t>İSM OTOMATİV</t>
  </si>
  <si>
    <t>AKUAKRAFT</t>
  </si>
  <si>
    <t>ISILSAN</t>
  </si>
  <si>
    <t>ADAP KAYMAKAMLIK//KÖY</t>
  </si>
  <si>
    <t>ADAP MESAİ</t>
  </si>
  <si>
    <t>ADAPAZARI MESAİ</t>
  </si>
  <si>
    <t>OZANLAR PATATES HALİ</t>
  </si>
  <si>
    <t>54 S 0570</t>
  </si>
  <si>
    <t>54 S 1194</t>
  </si>
  <si>
    <t>MUSTAFA ÖZTÜRK</t>
  </si>
  <si>
    <t>ISILSAN MAK SAN</t>
  </si>
  <si>
    <t>ALYAN</t>
  </si>
  <si>
    <t>BAŞAK</t>
  </si>
  <si>
    <t>EYÜP ERDİ TÜREDİ</t>
  </si>
  <si>
    <t>AHMET CAN KAHVECİ</t>
  </si>
  <si>
    <t>TANSAN</t>
  </si>
  <si>
    <t>RAMAZAN MERVE YILMAZ</t>
  </si>
  <si>
    <t>ÇALIŞANA ÖDEME</t>
  </si>
  <si>
    <t>ŞİRKET ARAÇ ÇALIŞMA</t>
  </si>
  <si>
    <t>KOMİSYON KARI</t>
  </si>
  <si>
    <t>GENEL TOPLAM KAR</t>
  </si>
  <si>
    <t>MATRAH KALAN</t>
  </si>
  <si>
    <t>KDV KALAN</t>
  </si>
  <si>
    <t>TOPLAM KALAN</t>
  </si>
  <si>
    <t xml:space="preserve">AYRIŞTIRILMIŞ KAR </t>
  </si>
  <si>
    <t>ALYAN GIDA  OCAK</t>
  </si>
  <si>
    <t>ÖDEME TOPLAM</t>
  </si>
  <si>
    <t>ASİL TUR ARAÇ</t>
  </si>
  <si>
    <t>ASİL TUR ARAÇ   ÇALIŞMA</t>
  </si>
  <si>
    <t>ÇALIŞAN HAKEDİŞ TOPLAMLARI</t>
  </si>
  <si>
    <t>TOPLAM ÖDEME</t>
  </si>
  <si>
    <t>ÇALIŞAN ARAÇ HAKEDİŞ ÖDEMESİ</t>
  </si>
  <si>
    <t>GENEL TOPLAM</t>
  </si>
  <si>
    <t>ÇALIŞAN HAKEDİŞ ÖDEMESİ</t>
  </si>
  <si>
    <t>KALAN</t>
  </si>
  <si>
    <t>AVANS</t>
  </si>
  <si>
    <t>MAZOT</t>
  </si>
  <si>
    <t>BURDA 
BEBEK</t>
  </si>
  <si>
    <t>B-PLAS</t>
  </si>
  <si>
    <t>VAGON</t>
  </si>
  <si>
    <t>ORMAN 
İŞLETME</t>
  </si>
  <si>
    <t>GEDİK 
KAYNAK</t>
  </si>
  <si>
    <t>54 S 2933</t>
  </si>
  <si>
    <t>PERSONEL
MAAŞ</t>
  </si>
  <si>
    <t>TOPLAM
KAZANÇ</t>
  </si>
  <si>
    <t>SGK</t>
  </si>
  <si>
    <t>VAGON/BAŞAK</t>
  </si>
  <si>
    <t>VAGON ORMAN</t>
  </si>
  <si>
    <t>FİRMA</t>
  </si>
  <si>
    <t xml:space="preserve"> GENEL TOPLAM</t>
  </si>
  <si>
    <t>ÖDEMEDEN SONRA KALAN</t>
  </si>
  <si>
    <t xml:space="preserve">MATRAH </t>
  </si>
  <si>
    <t xml:space="preserve">KDV </t>
  </si>
  <si>
    <t xml:space="preserve">TOPLAM </t>
  </si>
  <si>
    <t>ÖDEME YAPILDIKTAN SONRA</t>
  </si>
  <si>
    <t>ADAPAZARI AÇM/ARİFİYE</t>
  </si>
  <si>
    <t>TEK MESAİ</t>
  </si>
  <si>
    <t>AŞIRLAR YAZLIK</t>
  </si>
  <si>
    <t>VARDİYE ÇARŞI</t>
  </si>
  <si>
    <t>ÇALIŞAN ÖDEMEDEN SONRA</t>
  </si>
  <si>
    <t>BANKADAN 
ÖDEME</t>
  </si>
  <si>
    <t>FİYAT FARK</t>
  </si>
  <si>
    <t>20:00 TEK MESAİ</t>
  </si>
  <si>
    <t>KOMİSYON</t>
  </si>
  <si>
    <t>TOPLAM ÖDENECEK HAKEDİŞ</t>
  </si>
  <si>
    <t>FORD</t>
  </si>
  <si>
    <t>CARAVEL</t>
  </si>
  <si>
    <t>FERİZLİ SÖĞÜTLÜ</t>
  </si>
  <si>
    <t>KORUCUK 16 ÇIKIŞ</t>
  </si>
  <si>
    <t>KAYNARCA</t>
  </si>
  <si>
    <t>2 ADAPAZARI 16 ÇIKIŞ</t>
  </si>
  <si>
    <t>ÇIKIŞ</t>
  </si>
  <si>
    <t>PAZAR MESAİ</t>
  </si>
  <si>
    <t>AQUAKRAFT</t>
  </si>
  <si>
    <t>0,10%</t>
  </si>
  <si>
    <t>0,20%</t>
  </si>
  <si>
    <t>08:00/18:00</t>
  </si>
  <si>
    <t>21:30/08:00</t>
  </si>
  <si>
    <t>53 S 0566</t>
  </si>
  <si>
    <t>54 S 0257</t>
  </si>
  <si>
    <t>ŞİRKET ARAÇ KAZANCI</t>
  </si>
  <si>
    <t>32 EVLER BEŞKÖPRÜ</t>
  </si>
  <si>
    <t>AKŞAM ÇIKIŞ</t>
  </si>
  <si>
    <t>ŞEKER MAH MUHTARLIK</t>
  </si>
  <si>
    <t>ÇÖKEKLER  BUDAKLAR GÜNEŞLER</t>
  </si>
  <si>
    <t>18 GİRİŞ TEK</t>
  </si>
  <si>
    <t>TOPLAM
HAKEDİŞ</t>
  </si>
  <si>
    <t>ŞEHİR İÇİ</t>
  </si>
  <si>
    <t>54 S 3116</t>
  </si>
  <si>
    <t>SABAH 2 TEK</t>
  </si>
  <si>
    <t>FİYAT FARK EFE</t>
  </si>
  <si>
    <t xml:space="preserve">MERKEZ </t>
  </si>
  <si>
    <t>SAPANCA FİYAT FARK</t>
  </si>
  <si>
    <t>ARAÇ</t>
  </si>
  <si>
    <t>54 AGN 378</t>
  </si>
  <si>
    <t>ÖDEMEDEN SONRA  KALAN</t>
  </si>
  <si>
    <t>54 S 2295</t>
  </si>
  <si>
    <t>BİNEK ARAÇLAR</t>
  </si>
  <si>
    <t>ARAÇLAR TOPLAM</t>
  </si>
  <si>
    <t xml:space="preserve">KORUCUK </t>
  </si>
  <si>
    <t>ÇÖKEKLER - 24 ÇIKIŞ</t>
  </si>
  <si>
    <t>minibüs</t>
  </si>
  <si>
    <t>54 TR 231</t>
  </si>
  <si>
    <t>SEFA ÖZPİLAVCI</t>
  </si>
  <si>
    <t>18:00 ÇIKIŞ</t>
  </si>
  <si>
    <t>ADAP 4</t>
  </si>
  <si>
    <t>FARK</t>
  </si>
  <si>
    <t xml:space="preserve">ÇALIŞAN  TEVİFAT ÖDEME </t>
  </si>
  <si>
    <t>TEK SABAH</t>
  </si>
  <si>
    <t>ADAPAZARI 08:00//18:00</t>
  </si>
  <si>
    <t>VRD 16:00 ÇIKIŞ</t>
  </si>
  <si>
    <t>ARİFİYE BEŞKÖPRÜ</t>
  </si>
  <si>
    <t xml:space="preserve">GEDİK KAYNAK </t>
  </si>
  <si>
    <t>54 S 1773</t>
  </si>
  <si>
    <t>SAPANCA GÖLEVİ</t>
  </si>
  <si>
    <t>OTEL HENDEK</t>
  </si>
  <si>
    <t>RAMADA ELİT</t>
  </si>
  <si>
    <t>EĞİTİM</t>
  </si>
  <si>
    <t>1 ARAÇ</t>
  </si>
  <si>
    <t>PEUGET</t>
  </si>
  <si>
    <t>54 TR</t>
  </si>
  <si>
    <t>16 ÇIKIŞ</t>
  </si>
  <si>
    <t>EKİM AYINDAN 3 TEK</t>
  </si>
  <si>
    <t>KAYMAKAMLIK KÖY</t>
  </si>
  <si>
    <t>AKŞAM</t>
  </si>
  <si>
    <t>YUNUS EMRE OCAK</t>
  </si>
  <si>
    <t>BURDA /3 vrd</t>
  </si>
  <si>
    <t>ALYAN/3 VRD</t>
  </si>
  <si>
    <t>B PLAS 3 VRD/VGON</t>
  </si>
  <si>
    <t>BURDA /MEMUR-KRC</t>
  </si>
  <si>
    <t>ALYAN/ K.TOPRAK 3 VRD</t>
  </si>
  <si>
    <t>MEB</t>
  </si>
  <si>
    <t>GEDİK KAYNAK/VAGON</t>
  </si>
  <si>
    <t>1 ADP VRD</t>
  </si>
  <si>
    <t>MEHTAP ÖZCAN</t>
  </si>
  <si>
    <t>54 S 2581</t>
  </si>
  <si>
    <t>54 S 2179</t>
  </si>
  <si>
    <t>GRŞ ÇIKIŞ TEK</t>
  </si>
  <si>
    <t>&lt;</t>
  </si>
  <si>
    <t>RIDVAN BARIŞ İSLAM</t>
  </si>
  <si>
    <t>ŞUBAT TOPLAM HAKEDİŞ ÖDEME</t>
  </si>
  <si>
    <t>27 LİK</t>
  </si>
  <si>
    <t>HENDEK 2</t>
  </si>
  <si>
    <t>GİRİŞ/ÇIKIŞ TEK</t>
  </si>
  <si>
    <t>54 S1773</t>
  </si>
  <si>
    <t>MUSTAFA KARGÜZEL</t>
  </si>
  <si>
    <t>HENDEK</t>
  </si>
  <si>
    <t>GRŞ-ÇIKIŞTEK</t>
  </si>
  <si>
    <t>UGUR BENLİ</t>
  </si>
  <si>
    <t>ŞİRKET ARAÇ ÇALIŞMA TOPLAM</t>
  </si>
  <si>
    <t>KOMİSYON KARI TOPLAM</t>
  </si>
  <si>
    <t>TÜVESAŞ PERSONEL</t>
  </si>
  <si>
    <t>ÖDENEN KDV</t>
  </si>
  <si>
    <t>DÜZCE</t>
  </si>
  <si>
    <t>ADAPAZARU KORUCUK 1</t>
  </si>
  <si>
    <t>ADAPAZARI KORUCUK 2</t>
  </si>
  <si>
    <t>HENDEK PIRILTI</t>
  </si>
  <si>
    <t>NURİ ŞAHİN ESTUR LIVIN</t>
  </si>
  <si>
    <t>aralık  vrd</t>
  </si>
  <si>
    <t>54 S 858</t>
  </si>
  <si>
    <t xml:space="preserve">ALYAN GIDA  </t>
  </si>
  <si>
    <t>KORUCUK 1</t>
  </si>
  <si>
    <t>minibüs 8+1</t>
  </si>
  <si>
    <t>borç kesinti</t>
  </si>
  <si>
    <t>KAVAKLI ORMAN</t>
  </si>
  <si>
    <t>ADAP ERENLR</t>
  </si>
  <si>
    <t>18 MESAİ</t>
  </si>
  <si>
    <t>54 S 0881</t>
  </si>
  <si>
    <t>HALİL OKUMUŞ</t>
  </si>
  <si>
    <t>ÖMER DER</t>
  </si>
  <si>
    <t>HASAN KAPDAN</t>
  </si>
  <si>
    <t>GRŞ/ÇKŞ</t>
  </si>
  <si>
    <t>HAREKET</t>
  </si>
  <si>
    <t>GÜZERGAH</t>
  </si>
  <si>
    <t>GÜN
TEK</t>
  </si>
  <si>
    <t>ŞEKER MAH MESAİ</t>
  </si>
  <si>
    <t>KAZIMPAŞA ADATIP TEK</t>
  </si>
  <si>
    <t>SAFFET DİN (BÖLGEM TRZ)</t>
  </si>
  <si>
    <t>BEŞEVLER  ALANDÜZÜ</t>
  </si>
  <si>
    <t>BEŞEVLER  ALANDÜZÜ  MESAİ</t>
  </si>
  <si>
    <t>SERDİVAN AVM 20:30 MESAİ</t>
  </si>
  <si>
    <t>20:30 MESAİ</t>
  </si>
  <si>
    <t>Ş.FAB E.STAD.KENT PARK</t>
  </si>
  <si>
    <t>Ş.MAH İLAVE HACIOĞLU Ç.PZ</t>
  </si>
  <si>
    <t>ERNAZ YORGALAR MESAİ</t>
  </si>
  <si>
    <t>KURTKÖY SAPANCA</t>
  </si>
  <si>
    <t>ARİFİYE  1  MRK</t>
  </si>
  <si>
    <t>ESENCE  1- B.ESENCE</t>
  </si>
  <si>
    <t>ELİK TUR(HANİFİ ELİK)</t>
  </si>
  <si>
    <t>ESENCE -2-//BEKİRPAŞA</t>
  </si>
  <si>
    <t>RAMİS GÜMÜŞ</t>
  </si>
  <si>
    <t>ÇATALKÖPRÜ</t>
  </si>
  <si>
    <t>GÜNEŞLER/OTTOMAN/Y.STAD</t>
  </si>
  <si>
    <t>RAMAZAN /MERVE YILMAZ</t>
  </si>
  <si>
    <t>YENİCAMİ/SALKO CAMİİ</t>
  </si>
  <si>
    <t>UGUR ERGEZEN</t>
  </si>
  <si>
    <t>YENİCAMİ MESAİ</t>
  </si>
  <si>
    <t>SERHAT TURAN TUR</t>
  </si>
  <si>
    <t>YENİCAMİ/MRK/İŞ BANK</t>
  </si>
  <si>
    <t>GÜNEŞLER/E.GRJ/E OKULU</t>
  </si>
  <si>
    <t>FATİH E.MES.K.DİBİ TUZLA</t>
  </si>
  <si>
    <t>GÜLLÜK CAMİ/TEK</t>
  </si>
  <si>
    <t>TÜRBE /HIZIRTEPE</t>
  </si>
  <si>
    <t>DAĞDİBİ ÇEVRE YOLU</t>
  </si>
  <si>
    <t>EMİN-ARZU DİNDAROĞLU</t>
  </si>
  <si>
    <t>ARİFİYE/AKÇAMLAR</t>
  </si>
  <si>
    <t>REMZİ/HÜRREM DORUK</t>
  </si>
  <si>
    <t>AKYAZI/2</t>
  </si>
  <si>
    <t>ÇATALKÖPRÜ/AKYAZI MESAİ</t>
  </si>
  <si>
    <t>KARAPÜRÇEK/EKİNLİ/ÇAYBAŞI</t>
  </si>
  <si>
    <t>RAMİS -HAKAN GÜMÜŞ</t>
  </si>
  <si>
    <t>YORGALAR KUMKÖY-ALKİD</t>
  </si>
  <si>
    <t>SERD 2/ARABACI ALANI LOJ.</t>
  </si>
  <si>
    <t>FERİZLİ SÖĞÜTLÜ/AKARCA</t>
  </si>
  <si>
    <t>ARİFİYE/HANLIKÖY</t>
  </si>
  <si>
    <t>VRD ÇARŞI/1/16 GRŞ/ÇIK</t>
  </si>
  <si>
    <t>Ş.İÇİ VRD GECE 24:00 ÇIKIŞ</t>
  </si>
  <si>
    <t>Y EMRE OCAK</t>
  </si>
  <si>
    <t>VARDİYE KORUCUK</t>
  </si>
  <si>
    <t xml:space="preserve">KORUCUK MESAİ </t>
  </si>
  <si>
    <t>MİN</t>
  </si>
  <si>
    <t>ALİ BAHRİ DEMİR</t>
  </si>
  <si>
    <t>AY</t>
  </si>
  <si>
    <t>HENDEK SARIDEDE Y OSM B.T</t>
  </si>
  <si>
    <t>HENDEK KAZİMİYE RASİMPAŞA</t>
  </si>
  <si>
    <t>HENDEK YENİMAHALLE  SGK 2</t>
  </si>
  <si>
    <t>54 S 1646</t>
  </si>
  <si>
    <t>HENDEK SU KENARI İLAVE</t>
  </si>
  <si>
    <t>54  0881</t>
  </si>
  <si>
    <t>ADAPAZARI1//SERDİVAN</t>
  </si>
  <si>
    <t>HENDEK 1</t>
  </si>
  <si>
    <t>HENDEK 1/BAYRAKTEPE/K.BAŞI</t>
  </si>
  <si>
    <t>HENDEK 2//ÇAĞLAYAN</t>
  </si>
  <si>
    <t>HENDEK 3//Y.MAHALLE</t>
  </si>
  <si>
    <t>HENDEK4//PUNA</t>
  </si>
  <si>
    <t>54 S 2005</t>
  </si>
  <si>
    <t>HENDEK 5 SARIDEDE/62 EV.ÇARŞI</t>
  </si>
  <si>
    <t>54 S 2124</t>
  </si>
  <si>
    <t>54 S2005</t>
  </si>
  <si>
    <t>ADAPAZARI 5/ ŞEKER MAHALLE</t>
  </si>
  <si>
    <t>ADAPAZARI 4/ HAYVAN PAZARI</t>
  </si>
  <si>
    <t>ADAPAZARI 3/ YAZLIK K.BAŞI</t>
  </si>
  <si>
    <t>ADAPAZARI 6/ESKİ TERMİNAL</t>
  </si>
  <si>
    <t>ADAPAZARI 7/ SERDİVAN AVM EREN</t>
  </si>
  <si>
    <t>54 S 1071</t>
  </si>
  <si>
    <t>AKYAZI SU KENARI</t>
  </si>
  <si>
    <t>81 S 1118</t>
  </si>
  <si>
    <t>AKYAZI 1  KÖY VRD</t>
  </si>
  <si>
    <t>AKYAZI 2/KUZULUK O.BEY</t>
  </si>
  <si>
    <t>HENDEK 1 K.BAŞI ÇARŞI</t>
  </si>
  <si>
    <t>HENDEK 2/Y.MAHALLE HANTEK</t>
  </si>
  <si>
    <t>HENDEK 3/BAYRAKTEPE</t>
  </si>
  <si>
    <t>DURSUN YILMAZ</t>
  </si>
  <si>
    <t>HENDEK 4/SARIDEDE</t>
  </si>
  <si>
    <t>KAYNARCA SU KEN.SİVRİ TEPE</t>
  </si>
  <si>
    <t>ALİCAN BAŞER</t>
  </si>
  <si>
    <t>ADAPAZARI  Ş.MAH.ORT GRŞ</t>
  </si>
  <si>
    <t>ADAPAZARI KUYU DİBİ K.TERM</t>
  </si>
  <si>
    <t>54 S 2315</t>
  </si>
  <si>
    <t>AKYAZI 1/HASTAHANE MAH</t>
  </si>
  <si>
    <t>AKYAZI/2 YENİCAMİ</t>
  </si>
  <si>
    <t>AKYAZI 3/KUZULUK KAYNAK MAH</t>
  </si>
  <si>
    <t>HENDEK 7/ SARIDEDE</t>
  </si>
  <si>
    <t>HENDEK 10/OPET BP</t>
  </si>
  <si>
    <t>HENDEK 8/SGK</t>
  </si>
  <si>
    <t>HENDEK 9/Y.MAHALLE</t>
  </si>
  <si>
    <t>HENDEK SABAH TEK GRŞ</t>
  </si>
  <si>
    <t>18:00/MESAİ</t>
  </si>
  <si>
    <t>20:00 MESAİ</t>
  </si>
  <si>
    <t>AKYAZI  H.MAH.YENİCASMİ</t>
  </si>
  <si>
    <t>ADAPAZARI YAZLIK</t>
  </si>
  <si>
    <t>SİVRİTEPE</t>
  </si>
  <si>
    <t>PAZAR</t>
  </si>
  <si>
    <t>AKYAZI KÖY/ÇAMLICA</t>
  </si>
  <si>
    <t>BAYRAKTEPE</t>
  </si>
  <si>
    <t>TEK GRŞ</t>
  </si>
  <si>
    <t>ADAPAZARI/KORUCUK</t>
  </si>
  <si>
    <t xml:space="preserve">VRD </t>
  </si>
  <si>
    <t>ADAPAZARI /1/</t>
  </si>
  <si>
    <t>ADP</t>
  </si>
  <si>
    <t>ADAPAZARI /2/</t>
  </si>
  <si>
    <t>SABAH</t>
  </si>
  <si>
    <t>HENDEK 3</t>
  </si>
  <si>
    <t>ADAPAZARI/3/</t>
  </si>
  <si>
    <t>BAYRAKTEPE/R.PAŞA</t>
  </si>
  <si>
    <t>ÇARŞI YANYOL</t>
  </si>
  <si>
    <t>HENDEK RASİMPAŞA</t>
  </si>
  <si>
    <t>GRŞ/ÇK/TEK</t>
  </si>
  <si>
    <t>MUSTAFA ASIM</t>
  </si>
  <si>
    <t>KÖPRÜBAŞI</t>
  </si>
  <si>
    <t>SEFA ÖZPİLAVI</t>
  </si>
  <si>
    <t>HENDEK SGK İLAVE</t>
  </si>
  <si>
    <t>HÜSEYİN İSLAM -İSLAMOĞULLARI</t>
  </si>
  <si>
    <t>AKYAZI 2</t>
  </si>
  <si>
    <t>ADAPAZARI GÜNEŞLER  O.GRJ</t>
  </si>
  <si>
    <t>EROL ÖZTÜFEKÇİ</t>
  </si>
  <si>
    <t>FERİZLİ 1/AKÇUKUR</t>
  </si>
  <si>
    <t>FERİZLİ 2/SEYİFLER</t>
  </si>
  <si>
    <t>KARASU //1</t>
  </si>
  <si>
    <t>KARASU //2</t>
  </si>
  <si>
    <t>KARASU //3</t>
  </si>
  <si>
    <t>ADATEPE/YUVALIDERE</t>
  </si>
  <si>
    <t>DA.ÇAYIRI L.DERE S.O</t>
  </si>
  <si>
    <t>ADAPAZARI/MERKEZ /ERENLER</t>
  </si>
  <si>
    <t>FUAT YÜCE</t>
  </si>
  <si>
    <t>DSİ/HIZIRTEPE</t>
  </si>
  <si>
    <t>KOR.MES</t>
  </si>
  <si>
    <t>HENDEK MRK/YENİMAHALLE</t>
  </si>
  <si>
    <t>54 S 0745</t>
  </si>
  <si>
    <t>54 S 0467</t>
  </si>
  <si>
    <t>HENDEK 2//</t>
  </si>
  <si>
    <t>54 S 0210</t>
  </si>
  <si>
    <t>HENDEK KÖY YEŞİLYURT/YAĞBASAN</t>
  </si>
  <si>
    <t>MRK/MES</t>
  </si>
  <si>
    <t>KÖY/MESAİ</t>
  </si>
  <si>
    <t>BOYAHANE HENDEK/BUDAKLAR</t>
  </si>
  <si>
    <t>ENES YILMAZ/HASAN AKDAĞCI</t>
  </si>
  <si>
    <t>BIYAHANEARİFİYE 18:00 ÇIKIŞ</t>
  </si>
  <si>
    <t>BOYAHANEADAP/MERKEZ</t>
  </si>
  <si>
    <t>BOYAHANEADAPAZARI MESAİ</t>
  </si>
  <si>
    <t>BOYAHANEADAP /ARİFİYE/MESAİ</t>
  </si>
  <si>
    <t>B/PLAS</t>
  </si>
  <si>
    <t>ADAPZARI</t>
  </si>
  <si>
    <t>RAMİS  HAKAN GÜMÜŞ</t>
  </si>
  <si>
    <t>EREN OTO</t>
  </si>
  <si>
    <t>ÇARŞI/GÜNEŞLER/ERENLER</t>
  </si>
  <si>
    <t>ŞEKER MAH SERDİVAN/H.TEPE</t>
  </si>
  <si>
    <t>GECE VRD ARALIK</t>
  </si>
  <si>
    <t>TEK YÖN G/Ç</t>
  </si>
  <si>
    <t>FEDAİ AKTAŞ</t>
  </si>
  <si>
    <t>RAMİS HAKAN GÜMÜŞ</t>
  </si>
  <si>
    <t>SERHAT TURAN   TURAN TUR</t>
  </si>
  <si>
    <t>OSMAN GÖKHAN IŞIK</t>
  </si>
  <si>
    <t>ERMAN TUR İBRAHİM ERMAN</t>
  </si>
  <si>
    <t>GÖKHAN İBRAHİM AKKUŞ</t>
  </si>
  <si>
    <t>EMİRCAN ÖZCAN KURT</t>
  </si>
  <si>
    <t>HAMDİ ÖCAL  SAPANCA SEYAHAT</t>
  </si>
  <si>
    <t>KİRALIK ARAÇ</t>
  </si>
  <si>
    <t>AHMET (ÖMER LÜTFÜ)ATABEK</t>
  </si>
  <si>
    <t>BARIŞ(RIDVAN)İSLAM</t>
  </si>
  <si>
    <t>FATİH ARI TUNCAY GÖKTAŞ</t>
  </si>
  <si>
    <t>FETİH AKTAŞ</t>
  </si>
  <si>
    <t>KADİR TUNCEL TUNCEL TRZ</t>
  </si>
  <si>
    <t>ŞAHİNLER ARZU DİNDAROĞLU</t>
  </si>
  <si>
    <t>SAFFET DİN</t>
  </si>
  <si>
    <t>NEVZATÖZBAY</t>
  </si>
  <si>
    <t>NURİ ŞAHİN ESTUR LİVİN</t>
  </si>
  <si>
    <t>REMZİ HÜRREM DORUK</t>
  </si>
  <si>
    <t>ENES YILMAZ HASAN AKDAĞCI</t>
  </si>
  <si>
    <t>ELİK TUR HANİFE ELİK</t>
  </si>
  <si>
    <t>ARDA ÖZKÖK FUAT YÜCE</t>
  </si>
  <si>
    <t>ÇALIŞAN HAKEDİŞ ÖDEME    TOPLAMI</t>
  </si>
  <si>
    <t>ASİL TUR ARAÇ KAZANCI</t>
  </si>
  <si>
    <t>EMRAH ESEN</t>
  </si>
  <si>
    <t>CUMA 2 ARAÇ</t>
  </si>
  <si>
    <t>55 S 0210</t>
  </si>
  <si>
    <t>56 S 0210</t>
  </si>
  <si>
    <t>57 S 0210</t>
  </si>
  <si>
    <t>58 S 0210</t>
  </si>
  <si>
    <t>CENAZE ISILSAN YEŞİLVADİ</t>
  </si>
  <si>
    <t>CENAZE</t>
  </si>
  <si>
    <t>SAPANCA  GEZİ</t>
  </si>
  <si>
    <t>PICUP</t>
  </si>
  <si>
    <t>HGS</t>
  </si>
  <si>
    <t>MALTEPE</t>
  </si>
  <si>
    <t xml:space="preserve">1 ADAPAZARI   </t>
  </si>
  <si>
    <t>OTOMOBİL</t>
  </si>
  <si>
    <t>CAMLI PANELVAN</t>
  </si>
  <si>
    <t>PANELVAN KAMYONET</t>
  </si>
  <si>
    <t>17 LİK</t>
  </si>
  <si>
    <t>54 S 1173</t>
  </si>
  <si>
    <t>ÇÖKLER-BUDKLR-GÜNŞLR</t>
  </si>
  <si>
    <t>257YERİNE</t>
  </si>
  <si>
    <t>ADİL YILMAZ E.GÜNEYSU</t>
  </si>
  <si>
    <t>ADİL YILMAZ SEFA ÖZPİLAVCI</t>
  </si>
  <si>
    <t>TOPLAM ÖDEME ÇALIŞAN</t>
  </si>
  <si>
    <t>HALİL BÜYÜKTANZİM/ADİL</t>
  </si>
  <si>
    <t>ADİL YILMAZ/M ÇİLEK</t>
  </si>
  <si>
    <t>ARİFİYE BOYAHANE</t>
  </si>
  <si>
    <t>GENEL TOPLA KAR</t>
  </si>
  <si>
    <t>ADAPAZARI/</t>
  </si>
  <si>
    <t>VRD ÇIKIŞ</t>
  </si>
  <si>
    <t>GECE 54 S 0563 YERİNE</t>
  </si>
  <si>
    <t>BANKADAN 
ÖDEME 1</t>
  </si>
  <si>
    <t>ÖDEME 2</t>
  </si>
  <si>
    <t>ÖDEME 3</t>
  </si>
  <si>
    <t>YASİNİN YERİNE 1 ÇIKIŞ</t>
  </si>
  <si>
    <t>FERİZLİ 3/SÖĞÜTLÜ</t>
  </si>
  <si>
    <t>SERDİVAN MAVİ DURAK KAMP</t>
  </si>
  <si>
    <t>CENAZE İST</t>
  </si>
  <si>
    <t>ADAPAZARI KORUCUK 3</t>
  </si>
  <si>
    <t>55 S 0566</t>
  </si>
  <si>
    <t>GİRİŞ</t>
  </si>
  <si>
    <t>ADAPAZARI ÇIKIİ ŞİRKET ARACI</t>
  </si>
  <si>
    <t>İBRAHİM OKUMUŞ</t>
  </si>
  <si>
    <t>KADINLAR GÜNÜ İÇİN 3 ARAÇ</t>
  </si>
  <si>
    <t>FEYYAZ POLUMCU</t>
  </si>
  <si>
    <t>SERDİVAN</t>
  </si>
  <si>
    <t xml:space="preserve">560 YERİNE GECE </t>
  </si>
  <si>
    <t>ISILSAN MAKİNA</t>
  </si>
  <si>
    <t>54 S  0856</t>
  </si>
  <si>
    <t>ADAPAZARI2</t>
  </si>
  <si>
    <t>ISILSAN MAKİNA-AYYAN GECE</t>
  </si>
  <si>
    <t>55 S 0570</t>
  </si>
  <si>
    <t>GİRİŞ ÇIKIŞ TEK</t>
  </si>
  <si>
    <t>MESAİ/</t>
  </si>
  <si>
    <t>TEK ÇIKIŞ</t>
  </si>
  <si>
    <t>16 LİK</t>
  </si>
  <si>
    <t>HENDEK 6//HANTEK 27 LİK</t>
  </si>
  <si>
    <t>MESAİ 17  lik</t>
  </si>
  <si>
    <t>MESAİ 27 LŞK</t>
  </si>
  <si>
    <t>ADAP MERKEZ</t>
  </si>
  <si>
    <t xml:space="preserve">ERENLER ARDA ÖZKÖK </t>
  </si>
  <si>
    <t>KORUCUK  SERCAN YERİNE</t>
  </si>
  <si>
    <t>2 GÜN MAYIS AYI FATURASINA EKLENECEK</t>
  </si>
  <si>
    <t>54 S 567-2933</t>
  </si>
  <si>
    <t>eğitim adap</t>
  </si>
  <si>
    <t>hendek 27 lik y mah çağlayan</t>
  </si>
  <si>
    <t>mesai 20</t>
  </si>
  <si>
    <t>HAZİRAN</t>
  </si>
  <si>
    <t>CAMİLİ TEK</t>
  </si>
  <si>
    <t>TEK+MESAİ</t>
  </si>
  <si>
    <t xml:space="preserve">HENDEK 4  İLAVE </t>
  </si>
  <si>
    <t>19 kesmiş</t>
  </si>
  <si>
    <t>14 kesmiş</t>
  </si>
  <si>
    <t>kesmemiş</t>
  </si>
  <si>
    <t>ESMER ATAK :(SERKAN AKKOYUN)</t>
  </si>
  <si>
    <t>EMEL ÖMER ÖNENÇ(otur butur)</t>
  </si>
  <si>
    <t xml:space="preserve">EMEL  ÖMER ÖNENÇ </t>
  </si>
  <si>
    <t>14,5 kesmiş</t>
  </si>
  <si>
    <t>ESKİ AYLARDA FAZLA FATURA KESTİ</t>
  </si>
  <si>
    <t>18*2600 KESİYOR</t>
  </si>
  <si>
    <t>DAHA ÖNCEK AYLAR FAZLA KESMİŞ FATURA</t>
  </si>
  <si>
    <t xml:space="preserve">1680 TL FAZLA KESMİŞ FATURAYI TEK KESTİĞİ İÇİN FARK NEREDE </t>
  </si>
  <si>
    <t>16 çift</t>
  </si>
  <si>
    <t>32 tek</t>
  </si>
  <si>
    <t>8 Cuma kesmiş</t>
  </si>
  <si>
    <t>13 kesmiş</t>
  </si>
  <si>
    <r>
      <t xml:space="preserve">ESRA YILMAZ ÖRCÜN </t>
    </r>
    <r>
      <rPr>
        <sz val="11"/>
        <color rgb="FFFF0000"/>
        <rFont val="Cambria"/>
        <family val="1"/>
        <charset val="162"/>
      </rPr>
      <t>dursun yılmaz</t>
    </r>
  </si>
  <si>
    <t>dursun YILMAZ ÖRCÜN</t>
  </si>
  <si>
    <t>20:00 MESAİ tek</t>
  </si>
  <si>
    <t>20:00 MESAİ grş+çıkış</t>
  </si>
  <si>
    <t>54 S 0860 YERİNE</t>
  </si>
  <si>
    <t>GRŞ/ÇIK TEK</t>
  </si>
  <si>
    <t>855 YERİNE</t>
  </si>
  <si>
    <t>HAZİRAN  2025  ÇALIŞAN
HAKEDİŞ</t>
  </si>
  <si>
    <t>GEDİK KAYNAK VRD</t>
  </si>
  <si>
    <t xml:space="preserve"> BURDA BEBEK GRŞ ÇIKIŞ</t>
  </si>
  <si>
    <t>B PLAS KORUCUK</t>
  </si>
  <si>
    <t>BOŞDA</t>
  </si>
  <si>
    <t>2 SABAH+1 AKŞAM</t>
  </si>
  <si>
    <t>1 SABAH+1 AKŞAM</t>
  </si>
  <si>
    <t>SERDAR</t>
  </si>
  <si>
    <t>MİTHAT</t>
  </si>
  <si>
    <t>BAYRAM  TEMMUZA</t>
  </si>
  <si>
    <t>XXXXXX</t>
  </si>
  <si>
    <t>ZZZZZZ</t>
  </si>
  <si>
    <t>ZZZZZZZZ</t>
  </si>
  <si>
    <t>SSSSSSS</t>
  </si>
  <si>
    <t>DDDD</t>
  </si>
  <si>
    <t>ABC FİRMA</t>
  </si>
  <si>
    <t>HHHHH</t>
  </si>
  <si>
    <t>TTTTTT</t>
  </si>
  <si>
    <t>UUUUUU</t>
  </si>
  <si>
    <t>DBE FİRMA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</si>
</sst>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₺&quot;* #,##0.00_-;\-&quot;₺&quot;* #,##0.00_-;_-&quot;₺&quot;* &quot;-&quot;??_-;_-@_-"/>
    <numFmt numFmtId="164" formatCode="_-* #,##0.00\ &quot;₺&quot;_-;\-* #,##0.00\ &quot;₺&quot;_-;_-* &quot;-&quot;??\ &quot;₺&quot;_-;_-@_-"/>
    <numFmt numFmtId="165" formatCode="[$-F800]dddd\,\ mmmm\ dd\,\ yyyy"/>
    <numFmt numFmtId="166" formatCode="#,##0.00\ &quot;₺&quot;"/>
    <numFmt numFmtId="167" formatCode="&quot;₺&quot;#,##0.00"/>
    <numFmt numFmtId="168" formatCode="_-* #,##0.00\ _₺_-;\-* #,##0.00\ _₺_-;_-* &quot;-&quot;??\ _₺_-;_-@_-"/>
  </numFmts>
  <fonts count="8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i/>
      <sz val="14"/>
      <name val="Cambria"/>
      <family val="1"/>
      <charset val="162"/>
      <scheme val="major"/>
    </font>
    <font>
      <b/>
      <sz val="13"/>
      <color theme="3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  <font>
      <b/>
      <sz val="11"/>
      <color theme="0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sz val="18"/>
      <color theme="3"/>
      <name val="Cambria"/>
      <family val="2"/>
      <charset val="162"/>
      <scheme val="major"/>
    </font>
    <font>
      <sz val="9"/>
      <color indexed="81"/>
      <name val="Tahoma"/>
      <family val="2"/>
      <charset val="162"/>
    </font>
    <font>
      <sz val="13"/>
      <color theme="1"/>
      <name val="Cambria"/>
      <family val="1"/>
      <charset val="162"/>
      <scheme val="major"/>
    </font>
    <font>
      <b/>
      <sz val="13"/>
      <name val="Cambria"/>
      <family val="1"/>
      <charset val="162"/>
      <scheme val="major"/>
    </font>
    <font>
      <b/>
      <sz val="13"/>
      <color theme="3"/>
      <name val="Cambria"/>
      <family val="1"/>
      <charset val="162"/>
      <scheme val="major"/>
    </font>
    <font>
      <b/>
      <sz val="12"/>
      <color theme="1"/>
      <name val="Cambria"/>
      <family val="1"/>
      <charset val="162"/>
      <scheme val="major"/>
    </font>
    <font>
      <sz val="13"/>
      <name val="Cambria"/>
      <family val="1"/>
      <charset val="162"/>
      <scheme val="major"/>
    </font>
    <font>
      <b/>
      <sz val="13"/>
      <color theme="1"/>
      <name val="Cambria"/>
      <family val="1"/>
      <charset val="162"/>
      <scheme val="major"/>
    </font>
    <font>
      <i/>
      <sz val="14"/>
      <color rgb="FFFF0000"/>
      <name val="Cambria"/>
      <family val="1"/>
      <charset val="162"/>
      <scheme val="major"/>
    </font>
    <font>
      <i/>
      <sz val="14"/>
      <color rgb="FF00B0F0"/>
      <name val="Cambria"/>
      <family val="1"/>
      <charset val="162"/>
      <scheme val="major"/>
    </font>
    <font>
      <i/>
      <u/>
      <sz val="14"/>
      <name val="Cambria"/>
      <family val="1"/>
      <charset val="162"/>
      <scheme val="major"/>
    </font>
    <font>
      <i/>
      <sz val="14"/>
      <color theme="1"/>
      <name val="Cambria"/>
      <family val="1"/>
      <charset val="162"/>
      <scheme val="major"/>
    </font>
    <font>
      <i/>
      <sz val="14"/>
      <color theme="5"/>
      <name val="Cambria"/>
      <family val="1"/>
      <charset val="162"/>
      <scheme val="major"/>
    </font>
    <font>
      <i/>
      <u/>
      <sz val="14"/>
      <color theme="0"/>
      <name val="Cambria"/>
      <family val="1"/>
      <charset val="162"/>
      <scheme val="major"/>
    </font>
    <font>
      <sz val="11"/>
      <color rgb="FF3F3F76"/>
      <name val="Calibri"/>
      <family val="2"/>
      <charset val="162"/>
      <scheme val="minor"/>
    </font>
    <font>
      <b/>
      <sz val="12"/>
      <color rgb="FF3F3F76"/>
      <name val="Cambria"/>
      <family val="1"/>
      <charset val="162"/>
      <scheme val="major"/>
    </font>
    <font>
      <u val="double"/>
      <sz val="13"/>
      <color theme="1"/>
      <name val="Cambria"/>
      <family val="1"/>
      <charset val="162"/>
      <scheme val="major"/>
    </font>
    <font>
      <b/>
      <i/>
      <sz val="12"/>
      <name val="Cambria"/>
      <family val="1"/>
      <charset val="162"/>
      <scheme val="major"/>
    </font>
    <font>
      <i/>
      <sz val="12"/>
      <name val="Cambria"/>
      <family val="1"/>
      <charset val="162"/>
      <scheme val="major"/>
    </font>
    <font>
      <sz val="8"/>
      <name val="Calibri"/>
      <family val="2"/>
      <scheme val="minor"/>
    </font>
    <font>
      <i/>
      <sz val="11"/>
      <name val="Cambria"/>
      <family val="1"/>
      <charset val="162"/>
      <scheme val="major"/>
    </font>
    <font>
      <b/>
      <sz val="11"/>
      <color theme="3"/>
      <name val="Calibri"/>
      <family val="2"/>
      <charset val="162"/>
      <scheme val="minor"/>
    </font>
    <font>
      <b/>
      <sz val="12"/>
      <color theme="3"/>
      <name val="Cambria"/>
      <family val="1"/>
      <charset val="162"/>
    </font>
    <font>
      <sz val="12"/>
      <color theme="1"/>
      <name val="Cambria"/>
      <family val="1"/>
      <charset val="162"/>
    </font>
    <font>
      <sz val="11"/>
      <color theme="1"/>
      <name val="Cambria"/>
      <family val="1"/>
      <charset val="162"/>
    </font>
    <font>
      <b/>
      <sz val="12"/>
      <color theme="1"/>
      <name val="Cambria"/>
      <family val="1"/>
      <charset val="162"/>
    </font>
    <font>
      <b/>
      <sz val="12"/>
      <name val="Cambria"/>
      <family val="1"/>
      <charset val="162"/>
    </font>
    <font>
      <sz val="12"/>
      <name val="Cambria"/>
      <family val="1"/>
      <charset val="162"/>
    </font>
    <font>
      <sz val="11"/>
      <color rgb="FFFF0000"/>
      <name val="Cambria"/>
      <family val="1"/>
      <charset val="162"/>
    </font>
    <font>
      <i/>
      <sz val="11"/>
      <color rgb="FFFF0000"/>
      <name val="Cambria"/>
      <family val="1"/>
      <charset val="162"/>
      <scheme val="major"/>
    </font>
    <font>
      <i/>
      <sz val="10"/>
      <name val="Cambria"/>
      <family val="1"/>
      <charset val="162"/>
      <scheme val="major"/>
    </font>
    <font>
      <i/>
      <sz val="16"/>
      <name val="Cambria"/>
      <family val="1"/>
      <charset val="162"/>
      <scheme val="major"/>
    </font>
    <font>
      <b/>
      <i/>
      <u/>
      <sz val="14"/>
      <name val="Cambria"/>
      <family val="1"/>
      <charset val="162"/>
      <scheme val="major"/>
    </font>
    <font>
      <b/>
      <sz val="9"/>
      <name val="Times New Roman"/>
      <family val="1"/>
      <charset val="162"/>
    </font>
    <font>
      <u val="doubleAccounting"/>
      <sz val="13"/>
      <color theme="1"/>
      <name val="Cambria"/>
      <family val="1"/>
      <charset val="162"/>
      <scheme val="major"/>
    </font>
    <font>
      <i/>
      <sz val="12"/>
      <color theme="1"/>
      <name val="Calibri Light"/>
      <family val="2"/>
      <charset val="162"/>
    </font>
    <font>
      <b/>
      <i/>
      <sz val="12"/>
      <color theme="1"/>
      <name val="Calibri Light"/>
      <family val="2"/>
      <charset val="162"/>
    </font>
    <font>
      <b/>
      <i/>
      <sz val="12"/>
      <color rgb="FFFF0000"/>
      <name val="Calibri Light"/>
      <family val="2"/>
      <charset val="162"/>
    </font>
    <font>
      <b/>
      <i/>
      <sz val="12"/>
      <name val="Calibri Light"/>
      <family val="2"/>
      <charset val="162"/>
    </font>
    <font>
      <i/>
      <sz val="10"/>
      <name val="Calibri Light"/>
      <family val="2"/>
      <charset val="162"/>
    </font>
    <font>
      <i/>
      <sz val="10"/>
      <color theme="1"/>
      <name val="Calibri Light"/>
      <family val="2"/>
      <charset val="162"/>
    </font>
    <font>
      <i/>
      <sz val="11"/>
      <color theme="1"/>
      <name val="Calibri Light"/>
      <family val="2"/>
      <charset val="162"/>
    </font>
    <font>
      <i/>
      <sz val="14"/>
      <color theme="1"/>
      <name val="Calibri Light"/>
      <family val="2"/>
      <charset val="162"/>
    </font>
    <font>
      <i/>
      <sz val="12"/>
      <name val="Calibri Light"/>
      <family val="2"/>
      <charset val="162"/>
    </font>
    <font>
      <i/>
      <sz val="12"/>
      <color rgb="FFFF0000"/>
      <name val="Calibri Light"/>
      <family val="2"/>
      <charset val="162"/>
    </font>
    <font>
      <b/>
      <i/>
      <sz val="10"/>
      <name val="Calibri Light"/>
      <family val="2"/>
      <charset val="162"/>
    </font>
    <font>
      <i/>
      <u val="doubleAccounting"/>
      <sz val="12"/>
      <color theme="1"/>
      <name val="Calibri Light"/>
      <family val="2"/>
      <charset val="162"/>
    </font>
    <font>
      <i/>
      <u val="doubleAccounting"/>
      <sz val="11"/>
      <color theme="1"/>
      <name val="Calibri Light"/>
      <family val="2"/>
      <charset val="162"/>
    </font>
    <font>
      <i/>
      <sz val="11"/>
      <name val="Calibri Light"/>
      <family val="2"/>
      <charset val="162"/>
    </font>
    <font>
      <b/>
      <i/>
      <sz val="14"/>
      <color rgb="FFFF0000"/>
      <name val="Cambria"/>
      <family val="1"/>
      <charset val="162"/>
      <scheme val="major"/>
    </font>
    <font>
      <b/>
      <i/>
      <sz val="12"/>
      <color rgb="FFFF0000"/>
      <name val="Cambria"/>
      <family val="1"/>
      <charset val="162"/>
      <scheme val="major"/>
    </font>
    <font>
      <b/>
      <i/>
      <sz val="11"/>
      <color rgb="FFFF0000"/>
      <name val="Cambria"/>
      <family val="1"/>
      <charset val="162"/>
      <scheme val="major"/>
    </font>
    <font>
      <b/>
      <i/>
      <sz val="10"/>
      <color rgb="FFFF0000"/>
      <name val="Cambria"/>
      <family val="1"/>
      <charset val="162"/>
      <scheme val="major"/>
    </font>
    <font>
      <b/>
      <i/>
      <sz val="16"/>
      <color rgb="FFFF0000"/>
      <name val="Cambria"/>
      <family val="1"/>
      <charset val="162"/>
      <scheme val="major"/>
    </font>
    <font>
      <b/>
      <i/>
      <sz val="11"/>
      <name val="Cambria"/>
      <family val="1"/>
      <charset val="162"/>
      <scheme val="major"/>
    </font>
    <font>
      <b/>
      <i/>
      <sz val="11"/>
      <color theme="1"/>
      <name val="Cambria"/>
      <family val="1"/>
      <charset val="162"/>
      <scheme val="major"/>
    </font>
    <font>
      <b/>
      <i/>
      <sz val="13"/>
      <color theme="1"/>
      <name val="Cambria"/>
      <family val="1"/>
      <charset val="162"/>
    </font>
    <font>
      <i/>
      <sz val="13"/>
      <color theme="1"/>
      <name val="Cambria"/>
      <family val="1"/>
      <charset val="162"/>
    </font>
    <font>
      <b/>
      <i/>
      <sz val="13"/>
      <name val="Cambria"/>
      <family val="1"/>
      <charset val="162"/>
    </font>
    <font>
      <b/>
      <i/>
      <sz val="13"/>
      <color theme="3"/>
      <name val="Cambria"/>
      <family val="1"/>
      <charset val="162"/>
    </font>
    <font>
      <i/>
      <sz val="13"/>
      <color theme="3"/>
      <name val="Cambria"/>
      <family val="1"/>
      <charset val="162"/>
    </font>
    <font>
      <b/>
      <i/>
      <sz val="13"/>
      <color rgb="FFFF0000"/>
      <name val="Cambria"/>
      <family val="1"/>
      <charset val="162"/>
    </font>
    <font>
      <b/>
      <i/>
      <u val="singleAccounting"/>
      <sz val="13"/>
      <color theme="1"/>
      <name val="Cambria"/>
      <family val="1"/>
      <charset val="162"/>
    </font>
    <font>
      <b/>
      <i/>
      <sz val="14"/>
      <color theme="1"/>
      <name val="Cambria"/>
      <family val="1"/>
      <charset val="162"/>
    </font>
    <font>
      <b/>
      <i/>
      <sz val="14"/>
      <name val="Cambria"/>
      <family val="1"/>
      <charset val="162"/>
    </font>
    <font>
      <i/>
      <sz val="12"/>
      <color rgb="FFFF0000"/>
      <name val="Cambria"/>
      <family val="1"/>
      <charset val="162"/>
      <scheme val="major"/>
    </font>
    <font>
      <b/>
      <i/>
      <sz val="12"/>
      <color theme="1"/>
      <name val="Cambria"/>
      <family val="1"/>
      <charset val="162"/>
    </font>
    <font>
      <i/>
      <sz val="12"/>
      <name val="Cambria"/>
      <family val="1"/>
      <charset val="162"/>
    </font>
    <font>
      <i/>
      <sz val="12"/>
      <color theme="1"/>
      <name val="Cambria"/>
      <family val="1"/>
      <charset val="162"/>
    </font>
  </fonts>
  <fills count="31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5A5A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50">
    <border>
      <left/>
      <right/>
      <top/>
      <bottom/>
      <diagonal/>
    </border>
    <border>
      <left style="double">
        <color rgb="FF7F7F7F"/>
      </left>
      <right style="double">
        <color rgb="FF7F7F7F"/>
      </right>
      <top style="double">
        <color rgb="FF7F7F7F"/>
      </top>
      <bottom style="double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ck">
        <color auto="1"/>
      </left>
      <right style="thin">
        <color rgb="FF7F7F7F"/>
      </right>
      <top style="thick">
        <color auto="1"/>
      </top>
      <bottom/>
      <diagonal/>
    </border>
    <border>
      <left style="thin">
        <color rgb="FF7F7F7F"/>
      </left>
      <right style="thin">
        <color rgb="FF7F7F7F"/>
      </right>
      <top style="thick">
        <color auto="1"/>
      </top>
      <bottom/>
      <diagonal/>
    </border>
    <border>
      <left style="thin">
        <color rgb="FF7F7F7F"/>
      </left>
      <right style="thick">
        <color auto="1"/>
      </right>
      <top style="thick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double">
        <color rgb="FF7F7F7F"/>
      </left>
      <right style="double">
        <color rgb="FF7F7F7F"/>
      </right>
      <top style="double">
        <color rgb="FF7F7F7F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rgb="FF7F7F7F"/>
      </top>
      <bottom/>
      <diagonal/>
    </border>
    <border>
      <left/>
      <right style="thick">
        <color auto="1"/>
      </right>
      <top style="double">
        <color rgb="FF7F7F7F"/>
      </top>
      <bottom/>
      <diagonal/>
    </border>
    <border>
      <left/>
      <right style="double">
        <color rgb="FF7F7F7F"/>
      </right>
      <top style="double">
        <color rgb="FF7F7F7F"/>
      </top>
      <bottom style="double">
        <color rgb="FF7F7F7F"/>
      </bottom>
      <diagonal/>
    </border>
    <border>
      <left/>
      <right style="thick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7F7F7F"/>
      </left>
      <right style="double">
        <color rgb="FF7F7F7F"/>
      </right>
      <top/>
      <bottom style="double">
        <color rgb="FF7F7F7F"/>
      </bottom>
      <diagonal/>
    </border>
    <border>
      <left/>
      <right/>
      <top/>
      <bottom style="medium">
        <color theme="4" tint="0.3999755851924192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</borders>
  <cellStyleXfs count="20">
    <xf numFmtId="0" fontId="0" fillId="0" borderId="0"/>
    <xf numFmtId="0" fontId="4" fillId="2" borderId="0" applyNumberFormat="0" applyBorder="0" applyAlignment="0" applyProtection="0"/>
    <xf numFmtId="0" fontId="3" fillId="3" borderId="0" applyNumberFormat="0" applyBorder="0" applyAlignment="0" applyProtection="0"/>
    <xf numFmtId="44" fontId="5" fillId="0" borderId="0" applyFont="0" applyFill="0" applyBorder="0" applyAlignment="0" applyProtection="0"/>
    <xf numFmtId="0" fontId="2" fillId="6" borderId="0" applyNumberFormat="0" applyBorder="0" applyAlignment="0" applyProtection="0"/>
    <xf numFmtId="0" fontId="7" fillId="0" borderId="27" applyNumberFormat="0" applyFill="0" applyAlignment="0" applyProtection="0"/>
    <xf numFmtId="0" fontId="9" fillId="9" borderId="33" applyNumberFormat="0" applyAlignment="0" applyProtection="0"/>
    <xf numFmtId="0" fontId="10" fillId="0" borderId="34" applyNumberFormat="0" applyFill="0" applyAlignment="0" applyProtection="0"/>
    <xf numFmtId="0" fontId="11" fillId="0" borderId="0" applyNumberFormat="0" applyFill="0" applyBorder="0" applyAlignment="0" applyProtection="0"/>
    <xf numFmtId="0" fontId="4" fillId="11" borderId="0" applyNumberFormat="0" applyBorder="0" applyAlignment="0" applyProtection="0"/>
    <xf numFmtId="0" fontId="4" fillId="13" borderId="0" applyNumberFormat="0" applyBorder="0" applyAlignment="0" applyProtection="0"/>
    <xf numFmtId="0" fontId="4" fillId="17" borderId="0" applyNumberFormat="0" applyBorder="0" applyAlignment="0" applyProtection="0"/>
    <xf numFmtId="0" fontId="5" fillId="18" borderId="43" applyNumberFormat="0" applyFont="0" applyAlignment="0" applyProtection="0"/>
    <xf numFmtId="0" fontId="25" fillId="19" borderId="38" applyNumberFormat="0" applyAlignment="0" applyProtection="0"/>
    <xf numFmtId="9" fontId="5" fillId="0" borderId="0" applyFont="0" applyFill="0" applyBorder="0" applyAlignment="0" applyProtection="0"/>
    <xf numFmtId="0" fontId="32" fillId="0" borderId="47" applyNumberFormat="0" applyFill="0" applyAlignment="0" applyProtection="0"/>
    <xf numFmtId="0" fontId="1" fillId="28" borderId="0" applyNumberFormat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8" fontId="5" fillId="0" borderId="0" applyFont="0" applyFill="0" applyBorder="0" applyAlignment="0" applyProtection="0"/>
  </cellStyleXfs>
  <cellXfs count="587">
    <xf numFmtId="0" fontId="0" fillId="0" borderId="0" xfId="0"/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13" fillId="0" borderId="3" xfId="3" applyFont="1" applyBorder="1"/>
    <xf numFmtId="0" fontId="13" fillId="0" borderId="0" xfId="0" applyFont="1" applyAlignment="1">
      <alignment horizontal="center" vertical="center"/>
    </xf>
    <xf numFmtId="44" fontId="13" fillId="0" borderId="0" xfId="0" applyNumberFormat="1" applyFont="1"/>
    <xf numFmtId="0" fontId="14" fillId="10" borderId="33" xfId="6" applyFont="1" applyFill="1" applyAlignment="1">
      <alignment horizontal="center" vertical="center"/>
    </xf>
    <xf numFmtId="44" fontId="14" fillId="10" borderId="33" xfId="6" applyNumberFormat="1" applyFont="1" applyFill="1" applyAlignment="1">
      <alignment horizontal="center" vertical="center" wrapText="1"/>
    </xf>
    <xf numFmtId="44" fontId="14" fillId="10" borderId="33" xfId="6" applyNumberFormat="1" applyFont="1" applyFill="1" applyAlignment="1">
      <alignment horizontal="center" vertical="center"/>
    </xf>
    <xf numFmtId="0" fontId="13" fillId="0" borderId="0" xfId="0" applyFont="1"/>
    <xf numFmtId="0" fontId="13" fillId="0" borderId="3" xfId="0" applyFont="1" applyBorder="1"/>
    <xf numFmtId="44" fontId="13" fillId="0" borderId="0" xfId="3" applyFont="1"/>
    <xf numFmtId="0" fontId="15" fillId="0" borderId="34" xfId="7" applyFont="1" applyFill="1"/>
    <xf numFmtId="0" fontId="15" fillId="0" borderId="34" xfId="7" applyFont="1" applyFill="1" applyAlignment="1">
      <alignment horizontal="center" vertical="center"/>
    </xf>
    <xf numFmtId="44" fontId="15" fillId="0" borderId="34" xfId="7" applyNumberFormat="1" applyFont="1" applyFill="1"/>
    <xf numFmtId="0" fontId="18" fillId="0" borderId="0" xfId="0" applyFont="1" applyAlignment="1">
      <alignment horizontal="center" vertical="center"/>
    </xf>
    <xf numFmtId="44" fontId="13" fillId="4" borderId="3" xfId="3" applyFont="1" applyFill="1" applyBorder="1"/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44" fontId="6" fillId="0" borderId="0" xfId="3" applyFont="1" applyFill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1" fillId="16" borderId="6" xfId="1" applyFont="1" applyFill="1" applyBorder="1" applyAlignment="1">
      <alignment horizontal="center" vertical="center"/>
    </xf>
    <xf numFmtId="0" fontId="21" fillId="16" borderId="7" xfId="1" applyFont="1" applyFill="1" applyBorder="1" applyAlignment="1">
      <alignment horizontal="center" vertical="center"/>
    </xf>
    <xf numFmtId="44" fontId="21" fillId="16" borderId="7" xfId="3" applyFont="1" applyFill="1" applyBorder="1" applyAlignment="1">
      <alignment horizontal="center" vertical="center"/>
    </xf>
    <xf numFmtId="164" fontId="21" fillId="16" borderId="7" xfId="1" applyNumberFormat="1" applyFont="1" applyFill="1" applyBorder="1" applyAlignment="1">
      <alignment horizontal="center" vertical="center"/>
    </xf>
    <xf numFmtId="164" fontId="21" fillId="16" borderId="8" xfId="1" applyNumberFormat="1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44" fontId="19" fillId="4" borderId="3" xfId="3" applyFont="1" applyFill="1" applyBorder="1" applyAlignment="1">
      <alignment horizontal="center" vertical="center"/>
    </xf>
    <xf numFmtId="166" fontId="22" fillId="4" borderId="3" xfId="0" applyNumberFormat="1" applyFont="1" applyFill="1" applyBorder="1" applyAlignment="1">
      <alignment horizontal="center" vertical="center"/>
    </xf>
    <xf numFmtId="44" fontId="22" fillId="4" borderId="3" xfId="3" applyFont="1" applyFill="1" applyBorder="1" applyAlignment="1">
      <alignment horizontal="center" vertical="center"/>
    </xf>
    <xf numFmtId="44" fontId="22" fillId="4" borderId="0" xfId="3" applyFont="1" applyFill="1" applyAlignment="1">
      <alignment horizontal="center" vertical="center"/>
    </xf>
    <xf numFmtId="0" fontId="21" fillId="14" borderId="2" xfId="1" applyFont="1" applyFill="1" applyBorder="1" applyAlignment="1">
      <alignment horizontal="center" vertical="center"/>
    </xf>
    <xf numFmtId="44" fontId="21" fillId="14" borderId="2" xfId="3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44" fontId="22" fillId="0" borderId="1" xfId="3" applyFont="1" applyBorder="1" applyAlignment="1">
      <alignment horizontal="center" vertical="center"/>
    </xf>
    <xf numFmtId="0" fontId="22" fillId="0" borderId="0" xfId="0" applyFont="1"/>
    <xf numFmtId="44" fontId="22" fillId="0" borderId="0" xfId="3" applyFont="1"/>
    <xf numFmtId="44" fontId="22" fillId="0" borderId="0" xfId="3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44" fontId="22" fillId="0" borderId="0" xfId="0" applyNumberFormat="1" applyFont="1"/>
    <xf numFmtId="10" fontId="22" fillId="0" borderId="1" xfId="0" applyNumberFormat="1" applyFont="1" applyBorder="1" applyAlignment="1">
      <alignment horizontal="center" vertical="center"/>
    </xf>
    <xf numFmtId="0" fontId="24" fillId="2" borderId="2" xfId="1" applyFont="1" applyBorder="1" applyAlignment="1">
      <alignment horizontal="center" vertical="center"/>
    </xf>
    <xf numFmtId="44" fontId="24" fillId="2" borderId="2" xfId="3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44" fontId="22" fillId="0" borderId="11" xfId="3" applyFont="1" applyBorder="1" applyAlignment="1">
      <alignment horizontal="center" vertical="center"/>
    </xf>
    <xf numFmtId="0" fontId="22" fillId="0" borderId="11" xfId="0" applyFont="1" applyBorder="1"/>
    <xf numFmtId="44" fontId="22" fillId="0" borderId="0" xfId="3" applyFont="1" applyBorder="1"/>
    <xf numFmtId="44" fontId="22" fillId="0" borderId="24" xfId="3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44" fontId="22" fillId="0" borderId="16" xfId="3" applyFont="1" applyBorder="1" applyAlignment="1">
      <alignment horizontal="center" vertical="center"/>
    </xf>
    <xf numFmtId="44" fontId="22" fillId="0" borderId="17" xfId="3" applyFont="1" applyBorder="1" applyAlignment="1">
      <alignment horizontal="center" vertical="center"/>
    </xf>
    <xf numFmtId="44" fontId="22" fillId="0" borderId="12" xfId="3" applyFont="1" applyBorder="1" applyAlignment="1">
      <alignment horizontal="center" vertical="center"/>
    </xf>
    <xf numFmtId="44" fontId="22" fillId="0" borderId="15" xfId="3" applyFont="1" applyBorder="1" applyAlignment="1">
      <alignment horizontal="center" vertical="center"/>
    </xf>
    <xf numFmtId="44" fontId="22" fillId="0" borderId="4" xfId="3" applyFont="1" applyBorder="1" applyAlignment="1">
      <alignment horizontal="center" vertical="center"/>
    </xf>
    <xf numFmtId="0" fontId="24" fillId="2" borderId="2" xfId="1" applyFont="1" applyBorder="1" applyAlignment="1">
      <alignment horizontal="center" vertical="center" wrapText="1"/>
    </xf>
    <xf numFmtId="44" fontId="22" fillId="0" borderId="18" xfId="3" applyFont="1" applyBorder="1" applyAlignment="1">
      <alignment horizontal="center" vertical="center"/>
    </xf>
    <xf numFmtId="0" fontId="21" fillId="15" borderId="2" xfId="1" applyFont="1" applyFill="1" applyBorder="1" applyAlignment="1">
      <alignment horizontal="center" vertical="center"/>
    </xf>
    <xf numFmtId="0" fontId="21" fillId="15" borderId="2" xfId="1" applyFont="1" applyFill="1" applyBorder="1" applyAlignment="1">
      <alignment horizontal="center" vertical="center" wrapText="1"/>
    </xf>
    <xf numFmtId="44" fontId="21" fillId="15" borderId="2" xfId="3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44" fontId="22" fillId="0" borderId="3" xfId="3" applyFont="1" applyBorder="1" applyAlignment="1">
      <alignment horizontal="center" vertical="center"/>
    </xf>
    <xf numFmtId="0" fontId="6" fillId="0" borderId="0" xfId="0" applyFont="1"/>
    <xf numFmtId="44" fontId="6" fillId="0" borderId="0" xfId="3" applyFont="1"/>
    <xf numFmtId="166" fontId="22" fillId="0" borderId="0" xfId="3" applyNumberFormat="1" applyFont="1"/>
    <xf numFmtId="0" fontId="21" fillId="0" borderId="2" xfId="1" applyFont="1" applyFill="1" applyBorder="1" applyAlignment="1">
      <alignment horizontal="center" vertical="center"/>
    </xf>
    <xf numFmtId="44" fontId="13" fillId="0" borderId="3" xfId="3" applyFont="1" applyFill="1" applyBorder="1"/>
    <xf numFmtId="44" fontId="17" fillId="0" borderId="3" xfId="3" applyFont="1" applyFill="1" applyBorder="1"/>
    <xf numFmtId="44" fontId="13" fillId="0" borderId="0" xfId="3" applyFont="1" applyFill="1"/>
    <xf numFmtId="44" fontId="13" fillId="0" borderId="5" xfId="3" applyFont="1" applyFill="1" applyBorder="1"/>
    <xf numFmtId="0" fontId="13" fillId="0" borderId="20" xfId="0" applyFont="1" applyBorder="1" applyAlignment="1">
      <alignment horizontal="center" vertical="center"/>
    </xf>
    <xf numFmtId="44" fontId="13" fillId="0" borderId="3" xfId="0" applyNumberFormat="1" applyFont="1" applyBorder="1"/>
    <xf numFmtId="0" fontId="13" fillId="0" borderId="3" xfId="0" applyFont="1" applyBorder="1" applyAlignment="1">
      <alignment horizontal="center" vertical="center"/>
    </xf>
    <xf numFmtId="0" fontId="14" fillId="18" borderId="4" xfId="12" applyFont="1" applyBorder="1" applyAlignment="1">
      <alignment horizontal="center" vertical="center"/>
    </xf>
    <xf numFmtId="44" fontId="14" fillId="18" borderId="4" xfId="12" applyNumberFormat="1" applyFont="1" applyBorder="1" applyAlignment="1">
      <alignment horizontal="center" vertical="center" wrapText="1"/>
    </xf>
    <xf numFmtId="44" fontId="14" fillId="18" borderId="4" xfId="12" applyNumberFormat="1" applyFont="1" applyBorder="1" applyAlignment="1">
      <alignment horizontal="center" vertical="center"/>
    </xf>
    <xf numFmtId="44" fontId="18" fillId="18" borderId="4" xfId="12" applyNumberFormat="1" applyFont="1" applyBorder="1" applyAlignment="1">
      <alignment horizontal="center" vertical="center"/>
    </xf>
    <xf numFmtId="0" fontId="17" fillId="0" borderId="3" xfId="0" applyFont="1" applyBorder="1"/>
    <xf numFmtId="0" fontId="17" fillId="0" borderId="20" xfId="0" applyFont="1" applyBorder="1" applyAlignment="1">
      <alignment horizontal="center" vertical="center"/>
    </xf>
    <xf numFmtId="0" fontId="17" fillId="0" borderId="0" xfId="0" applyFont="1"/>
    <xf numFmtId="44" fontId="26" fillId="19" borderId="38" xfId="13" applyNumberFormat="1" applyFont="1" applyAlignment="1">
      <alignment horizontal="center" vertical="center"/>
    </xf>
    <xf numFmtId="0" fontId="27" fillId="0" borderId="0" xfId="0" applyFont="1"/>
    <xf numFmtId="44" fontId="27" fillId="0" borderId="0" xfId="0" applyNumberFormat="1" applyFont="1"/>
    <xf numFmtId="9" fontId="21" fillId="15" borderId="2" xfId="14" applyFont="1" applyFill="1" applyBorder="1" applyAlignment="1">
      <alignment horizontal="center" vertical="center"/>
    </xf>
    <xf numFmtId="0" fontId="22" fillId="4" borderId="0" xfId="0" applyFont="1" applyFill="1"/>
    <xf numFmtId="44" fontId="22" fillId="4" borderId="0" xfId="3" applyFont="1" applyFill="1"/>
    <xf numFmtId="0" fontId="6" fillId="4" borderId="35" xfId="0" applyFont="1" applyFill="1" applyBorder="1" applyAlignment="1">
      <alignment horizontal="center" vertical="center"/>
    </xf>
    <xf numFmtId="44" fontId="6" fillId="4" borderId="35" xfId="3" applyFont="1" applyFill="1" applyBorder="1" applyAlignment="1">
      <alignment horizontal="center" vertical="center"/>
    </xf>
    <xf numFmtId="10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22" fillId="4" borderId="35" xfId="0" applyFont="1" applyFill="1" applyBorder="1"/>
    <xf numFmtId="44" fontId="22" fillId="4" borderId="35" xfId="3" applyFont="1" applyFill="1" applyBorder="1"/>
    <xf numFmtId="44" fontId="22" fillId="4" borderId="35" xfId="0" applyNumberFormat="1" applyFont="1" applyFill="1" applyBorder="1"/>
    <xf numFmtId="44" fontId="22" fillId="4" borderId="0" xfId="0" applyNumberFormat="1" applyFont="1" applyFill="1"/>
    <xf numFmtId="44" fontId="19" fillId="4" borderId="35" xfId="0" applyNumberFormat="1" applyFont="1" applyFill="1" applyBorder="1"/>
    <xf numFmtId="44" fontId="19" fillId="4" borderId="35" xfId="3" applyFont="1" applyFill="1" applyBorder="1"/>
    <xf numFmtId="44" fontId="22" fillId="4" borderId="0" xfId="0" applyNumberFormat="1" applyFont="1" applyFill="1" applyAlignment="1">
      <alignment horizontal="center"/>
    </xf>
    <xf numFmtId="0" fontId="22" fillId="4" borderId="0" xfId="3" applyNumberFormat="1" applyFont="1" applyFill="1"/>
    <xf numFmtId="0" fontId="22" fillId="4" borderId="0" xfId="0" applyFont="1" applyFill="1" applyAlignment="1">
      <alignment vertical="center"/>
    </xf>
    <xf numFmtId="0" fontId="22" fillId="4" borderId="0" xfId="0" applyFont="1" applyFill="1" applyAlignment="1">
      <alignment horizontal="center"/>
    </xf>
    <xf numFmtId="44" fontId="18" fillId="18" borderId="0" xfId="12" applyNumberFormat="1" applyFont="1" applyBorder="1" applyAlignment="1">
      <alignment horizontal="center" vertical="center"/>
    </xf>
    <xf numFmtId="44" fontId="13" fillId="0" borderId="0" xfId="3" applyFont="1" applyBorder="1"/>
    <xf numFmtId="44" fontId="16" fillId="0" borderId="0" xfId="0" applyNumberFormat="1" applyFont="1"/>
    <xf numFmtId="0" fontId="22" fillId="4" borderId="1" xfId="0" applyFont="1" applyFill="1" applyBorder="1" applyAlignment="1">
      <alignment horizontal="center" vertical="center"/>
    </xf>
    <xf numFmtId="44" fontId="22" fillId="4" borderId="1" xfId="3" applyFont="1" applyFill="1" applyBorder="1" applyAlignment="1">
      <alignment horizontal="center" vertical="center"/>
    </xf>
    <xf numFmtId="0" fontId="21" fillId="4" borderId="2" xfId="1" applyFont="1" applyFill="1" applyBorder="1" applyAlignment="1">
      <alignment horizontal="center" vertical="center"/>
    </xf>
    <xf numFmtId="44" fontId="6" fillId="4" borderId="0" xfId="3" applyFont="1" applyFill="1" applyAlignment="1">
      <alignment horizontal="center" vertical="center"/>
    </xf>
    <xf numFmtId="44" fontId="22" fillId="4" borderId="12" xfId="3" applyFont="1" applyFill="1" applyBorder="1" applyAlignment="1">
      <alignment horizontal="center" vertical="center"/>
    </xf>
    <xf numFmtId="0" fontId="22" fillId="4" borderId="35" xfId="0" applyFont="1" applyFill="1" applyBorder="1" applyAlignment="1">
      <alignment horizontal="center" vertical="center"/>
    </xf>
    <xf numFmtId="44" fontId="22" fillId="4" borderId="35" xfId="3" applyFont="1" applyFill="1" applyBorder="1" applyAlignment="1">
      <alignment horizontal="center" vertical="center"/>
    </xf>
    <xf numFmtId="44" fontId="22" fillId="4" borderId="18" xfId="3" applyFont="1" applyFill="1" applyBorder="1" applyAlignment="1">
      <alignment horizontal="center" vertical="center"/>
    </xf>
    <xf numFmtId="44" fontId="22" fillId="4" borderId="24" xfId="3" applyFont="1" applyFill="1" applyBorder="1" applyAlignment="1">
      <alignment horizontal="center" vertical="center"/>
    </xf>
    <xf numFmtId="44" fontId="22" fillId="4" borderId="37" xfId="0" applyNumberFormat="1" applyFont="1" applyFill="1" applyBorder="1" applyAlignment="1">
      <alignment horizontal="center" vertical="center"/>
    </xf>
    <xf numFmtId="0" fontId="22" fillId="4" borderId="37" xfId="0" applyFont="1" applyFill="1" applyBorder="1" applyAlignment="1">
      <alignment horizontal="center" vertical="center"/>
    </xf>
    <xf numFmtId="0" fontId="22" fillId="4" borderId="45" xfId="0" applyFont="1" applyFill="1" applyBorder="1" applyAlignment="1">
      <alignment horizontal="center" vertical="center"/>
    </xf>
    <xf numFmtId="44" fontId="22" fillId="4" borderId="45" xfId="3" applyFont="1" applyFill="1" applyBorder="1" applyAlignment="1">
      <alignment horizontal="center" vertical="center"/>
    </xf>
    <xf numFmtId="44" fontId="22" fillId="4" borderId="46" xfId="3" applyFont="1" applyFill="1" applyBorder="1" applyAlignment="1">
      <alignment horizontal="center" vertical="center"/>
    </xf>
    <xf numFmtId="0" fontId="6" fillId="22" borderId="4" xfId="0" applyFont="1" applyFill="1" applyBorder="1" applyAlignment="1">
      <alignment horizontal="center"/>
    </xf>
    <xf numFmtId="0" fontId="22" fillId="22" borderId="1" xfId="0" applyFont="1" applyFill="1" applyBorder="1" applyAlignment="1">
      <alignment horizontal="center" vertical="center"/>
    </xf>
    <xf numFmtId="0" fontId="23" fillId="22" borderId="1" xfId="0" applyFont="1" applyFill="1" applyBorder="1" applyAlignment="1">
      <alignment horizontal="center" vertical="center"/>
    </xf>
    <xf numFmtId="9" fontId="24" fillId="2" borderId="2" xfId="3" applyNumberFormat="1" applyFont="1" applyFill="1" applyBorder="1" applyAlignment="1">
      <alignment horizontal="center" vertical="center"/>
    </xf>
    <xf numFmtId="0" fontId="33" fillId="0" borderId="47" xfId="15" applyFont="1" applyFill="1" applyAlignment="1">
      <alignment horizontal="center" vertical="center"/>
    </xf>
    <xf numFmtId="0" fontId="33" fillId="0" borderId="47" xfId="15" applyNumberFormat="1" applyFont="1" applyFill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5" fillId="0" borderId="0" xfId="0" applyFont="1"/>
    <xf numFmtId="0" fontId="35" fillId="0" borderId="0" xfId="0" applyFont="1" applyAlignment="1">
      <alignment horizontal="center"/>
    </xf>
    <xf numFmtId="44" fontId="35" fillId="0" borderId="0" xfId="3" applyFont="1" applyAlignment="1">
      <alignment horizontal="center"/>
    </xf>
    <xf numFmtId="44" fontId="35" fillId="0" borderId="0" xfId="3" applyFont="1"/>
    <xf numFmtId="44" fontId="35" fillId="0" borderId="4" xfId="3" applyFont="1" applyBorder="1"/>
    <xf numFmtId="44" fontId="33" fillId="0" borderId="47" xfId="3" applyFont="1" applyFill="1" applyBorder="1" applyAlignment="1">
      <alignment horizontal="center" vertical="center"/>
    </xf>
    <xf numFmtId="0" fontId="37" fillId="23" borderId="47" xfId="15" applyFont="1" applyFill="1" applyAlignment="1">
      <alignment horizontal="center" vertical="center"/>
    </xf>
    <xf numFmtId="0" fontId="37" fillId="23" borderId="47" xfId="15" applyNumberFormat="1" applyFont="1" applyFill="1" applyAlignment="1">
      <alignment horizontal="center" vertical="center" wrapText="1"/>
    </xf>
    <xf numFmtId="44" fontId="37" fillId="23" borderId="47" xfId="3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7" fillId="24" borderId="47" xfId="15" applyFont="1" applyFill="1" applyAlignment="1">
      <alignment horizontal="center" vertical="center"/>
    </xf>
    <xf numFmtId="0" fontId="37" fillId="24" borderId="47" xfId="15" applyNumberFormat="1" applyFont="1" applyFill="1" applyAlignment="1">
      <alignment horizontal="center" vertical="center" wrapText="1"/>
    </xf>
    <xf numFmtId="44" fontId="37" fillId="24" borderId="47" xfId="3" applyFont="1" applyFill="1" applyBorder="1" applyAlignment="1">
      <alignment horizontal="center" vertical="center"/>
    </xf>
    <xf numFmtId="0" fontId="33" fillId="21" borderId="47" xfId="15" applyFont="1" applyFill="1" applyAlignment="1">
      <alignment horizontal="center" vertical="center"/>
    </xf>
    <xf numFmtId="0" fontId="33" fillId="21" borderId="47" xfId="15" applyNumberFormat="1" applyFont="1" applyFill="1" applyAlignment="1">
      <alignment horizontal="center" vertical="center" wrapText="1"/>
    </xf>
    <xf numFmtId="44" fontId="33" fillId="21" borderId="47" xfId="3" applyFont="1" applyFill="1" applyBorder="1" applyAlignment="1">
      <alignment horizontal="center" vertical="center"/>
    </xf>
    <xf numFmtId="0" fontId="33" fillId="15" borderId="47" xfId="15" applyFont="1" applyFill="1" applyAlignment="1">
      <alignment horizontal="center" vertical="center"/>
    </xf>
    <xf numFmtId="0" fontId="33" fillId="15" borderId="47" xfId="15" applyNumberFormat="1" applyFont="1" applyFill="1" applyAlignment="1">
      <alignment horizontal="center" vertical="center" wrapText="1"/>
    </xf>
    <xf numFmtId="44" fontId="33" fillId="15" borderId="47" xfId="3" applyFont="1" applyFill="1" applyBorder="1" applyAlignment="1">
      <alignment horizontal="center" vertical="center"/>
    </xf>
    <xf numFmtId="0" fontId="33" fillId="25" borderId="47" xfId="15" applyFont="1" applyFill="1" applyAlignment="1">
      <alignment horizontal="center" vertical="center"/>
    </xf>
    <xf numFmtId="0" fontId="33" fillId="25" borderId="47" xfId="15" applyNumberFormat="1" applyFont="1" applyFill="1" applyAlignment="1">
      <alignment horizontal="center" vertical="center" wrapText="1"/>
    </xf>
    <xf numFmtId="44" fontId="33" fillId="25" borderId="47" xfId="3" applyFont="1" applyFill="1" applyBorder="1" applyAlignment="1">
      <alignment horizontal="center" vertical="center"/>
    </xf>
    <xf numFmtId="0" fontId="33" fillId="12" borderId="47" xfId="15" applyFont="1" applyFill="1" applyAlignment="1">
      <alignment horizontal="center" vertical="center"/>
    </xf>
    <xf numFmtId="0" fontId="33" fillId="12" borderId="47" xfId="15" applyNumberFormat="1" applyFont="1" applyFill="1" applyAlignment="1">
      <alignment horizontal="center" vertical="center" wrapText="1"/>
    </xf>
    <xf numFmtId="44" fontId="33" fillId="12" borderId="47" xfId="3" applyFont="1" applyFill="1" applyBorder="1" applyAlignment="1">
      <alignment horizontal="center" vertical="center"/>
    </xf>
    <xf numFmtId="0" fontId="33" fillId="24" borderId="47" xfId="15" applyFont="1" applyFill="1" applyAlignment="1">
      <alignment horizontal="center" vertical="center"/>
    </xf>
    <xf numFmtId="0" fontId="33" fillId="24" borderId="47" xfId="15" applyNumberFormat="1" applyFont="1" applyFill="1" applyAlignment="1">
      <alignment horizontal="center" vertical="center" wrapText="1"/>
    </xf>
    <xf numFmtId="44" fontId="33" fillId="24" borderId="47" xfId="3" applyFont="1" applyFill="1" applyBorder="1" applyAlignment="1">
      <alignment horizontal="center" vertical="center"/>
    </xf>
    <xf numFmtId="0" fontId="33" fillId="23" borderId="47" xfId="15" applyFont="1" applyFill="1" applyAlignment="1">
      <alignment horizontal="center" vertical="center"/>
    </xf>
    <xf numFmtId="0" fontId="33" fillId="23" borderId="47" xfId="15" applyNumberFormat="1" applyFont="1" applyFill="1" applyAlignment="1">
      <alignment horizontal="center" vertical="center" wrapText="1"/>
    </xf>
    <xf numFmtId="44" fontId="33" fillId="23" borderId="47" xfId="3" applyFont="1" applyFill="1" applyBorder="1" applyAlignment="1">
      <alignment horizontal="center" vertical="center"/>
    </xf>
    <xf numFmtId="0" fontId="37" fillId="25" borderId="47" xfId="15" applyFont="1" applyFill="1" applyAlignment="1">
      <alignment horizontal="center" vertical="center"/>
    </xf>
    <xf numFmtId="0" fontId="37" fillId="25" borderId="47" xfId="15" applyNumberFormat="1" applyFont="1" applyFill="1" applyAlignment="1">
      <alignment horizontal="center" vertical="center" wrapText="1"/>
    </xf>
    <xf numFmtId="44" fontId="37" fillId="25" borderId="47" xfId="3" applyFont="1" applyFill="1" applyBorder="1" applyAlignment="1">
      <alignment horizontal="center" vertical="center"/>
    </xf>
    <xf numFmtId="0" fontId="37" fillId="12" borderId="47" xfId="15" applyFont="1" applyFill="1" applyAlignment="1">
      <alignment horizontal="center" vertical="center"/>
    </xf>
    <xf numFmtId="0" fontId="37" fillId="12" borderId="47" xfId="15" applyNumberFormat="1" applyFont="1" applyFill="1" applyAlignment="1">
      <alignment horizontal="center" vertical="center" wrapText="1"/>
    </xf>
    <xf numFmtId="44" fontId="37" fillId="12" borderId="47" xfId="3" applyFont="1" applyFill="1" applyBorder="1" applyAlignment="1">
      <alignment horizontal="center" vertical="center"/>
    </xf>
    <xf numFmtId="44" fontId="36" fillId="0" borderId="4" xfId="3" applyFont="1" applyBorder="1"/>
    <xf numFmtId="44" fontId="22" fillId="0" borderId="1" xfId="3" applyFont="1" applyFill="1" applyBorder="1" applyAlignment="1">
      <alignment horizontal="center" vertical="center"/>
    </xf>
    <xf numFmtId="44" fontId="22" fillId="0" borderId="0" xfId="3" applyFont="1" applyFill="1"/>
    <xf numFmtId="44" fontId="34" fillId="0" borderId="4" xfId="3" applyFont="1" applyBorder="1"/>
    <xf numFmtId="0" fontId="39" fillId="0" borderId="0" xfId="0" applyFont="1" applyAlignment="1">
      <alignment horizontal="center"/>
    </xf>
    <xf numFmtId="0" fontId="31" fillId="4" borderId="3" xfId="0" applyFont="1" applyFill="1" applyBorder="1" applyAlignment="1">
      <alignment horizontal="center"/>
    </xf>
    <xf numFmtId="0" fontId="31" fillId="4" borderId="3" xfId="0" applyFont="1" applyFill="1" applyBorder="1"/>
    <xf numFmtId="0" fontId="31" fillId="4" borderId="0" xfId="0" applyFont="1" applyFill="1"/>
    <xf numFmtId="0" fontId="43" fillId="5" borderId="2" xfId="1" applyFont="1" applyFill="1" applyBorder="1" applyAlignment="1">
      <alignment horizontal="center" vertical="center"/>
    </xf>
    <xf numFmtId="44" fontId="43" fillId="5" borderId="2" xfId="3" applyFont="1" applyFill="1" applyBorder="1" applyAlignment="1">
      <alignment horizontal="center" vertical="center"/>
    </xf>
    <xf numFmtId="44" fontId="18" fillId="0" borderId="3" xfId="0" applyNumberFormat="1" applyFont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44" fontId="22" fillId="5" borderId="1" xfId="3" applyFont="1" applyFill="1" applyBorder="1" applyAlignment="1">
      <alignment horizontal="center" vertical="center"/>
    </xf>
    <xf numFmtId="167" fontId="22" fillId="0" borderId="0" xfId="0" applyNumberFormat="1" applyFont="1"/>
    <xf numFmtId="0" fontId="19" fillId="0" borderId="0" xfId="0" applyFont="1"/>
    <xf numFmtId="0" fontId="6" fillId="4" borderId="0" xfId="10" applyFont="1" applyFill="1" applyAlignment="1">
      <alignment horizontal="center"/>
    </xf>
    <xf numFmtId="0" fontId="31" fillId="4" borderId="0" xfId="0" applyFont="1" applyFill="1" applyAlignment="1">
      <alignment horizontal="center"/>
    </xf>
    <xf numFmtId="0" fontId="29" fillId="4" borderId="13" xfId="11" applyFont="1" applyFill="1" applyBorder="1" applyAlignment="1">
      <alignment horizontal="center" vertical="center"/>
    </xf>
    <xf numFmtId="0" fontId="29" fillId="4" borderId="3" xfId="11" applyFont="1" applyFill="1" applyBorder="1" applyAlignment="1">
      <alignment horizontal="center" vertical="center"/>
    </xf>
    <xf numFmtId="44" fontId="29" fillId="4" borderId="3" xfId="3" applyFont="1" applyFill="1" applyBorder="1" applyAlignment="1">
      <alignment horizontal="center" vertical="center"/>
    </xf>
    <xf numFmtId="0" fontId="29" fillId="4" borderId="0" xfId="0" applyFont="1" applyFill="1"/>
    <xf numFmtId="0" fontId="29" fillId="4" borderId="9" xfId="0" applyFont="1" applyFill="1" applyBorder="1" applyAlignment="1">
      <alignment horizontal="center"/>
    </xf>
    <xf numFmtId="0" fontId="6" fillId="4" borderId="0" xfId="10" applyFont="1" applyFill="1" applyBorder="1" applyAlignment="1">
      <alignment horizontal="center"/>
    </xf>
    <xf numFmtId="0" fontId="29" fillId="4" borderId="0" xfId="11" applyFont="1" applyFill="1" applyBorder="1" applyAlignment="1">
      <alignment horizontal="center" vertical="center"/>
    </xf>
    <xf numFmtId="0" fontId="31" fillId="4" borderId="13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4" borderId="0" xfId="0" applyFont="1" applyFill="1" applyAlignment="1">
      <alignment horizontal="center" vertical="center"/>
    </xf>
    <xf numFmtId="0" fontId="29" fillId="4" borderId="0" xfId="0" applyFont="1" applyFill="1" applyAlignment="1">
      <alignment horizontal="center"/>
    </xf>
    <xf numFmtId="0" fontId="31" fillId="4" borderId="21" xfId="0" applyFont="1" applyFill="1" applyBorder="1" applyAlignment="1">
      <alignment horizontal="center"/>
    </xf>
    <xf numFmtId="0" fontId="6" fillId="4" borderId="3" xfId="10" applyFont="1" applyFill="1" applyBorder="1" applyAlignment="1">
      <alignment horizontal="center"/>
    </xf>
    <xf numFmtId="0" fontId="31" fillId="4" borderId="22" xfId="0" applyFont="1" applyFill="1" applyBorder="1" applyAlignment="1">
      <alignment horizontal="center"/>
    </xf>
    <xf numFmtId="0" fontId="31" fillId="4" borderId="14" xfId="0" applyFont="1" applyFill="1" applyBorder="1" applyAlignment="1">
      <alignment horizontal="center"/>
    </xf>
    <xf numFmtId="0" fontId="42" fillId="4" borderId="0" xfId="10" applyFont="1" applyFill="1" applyAlignment="1">
      <alignment horizontal="center"/>
    </xf>
    <xf numFmtId="0" fontId="44" fillId="0" borderId="48" xfId="0" applyFont="1" applyBorder="1" applyAlignment="1">
      <alignment horizontal="left"/>
    </xf>
    <xf numFmtId="44" fontId="45" fillId="0" borderId="0" xfId="0" applyNumberFormat="1" applyFont="1"/>
    <xf numFmtId="0" fontId="46" fillId="0" borderId="0" xfId="0" applyFont="1"/>
    <xf numFmtId="0" fontId="47" fillId="0" borderId="3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/>
    </xf>
    <xf numFmtId="0" fontId="46" fillId="0" borderId="3" xfId="0" applyFont="1" applyBorder="1"/>
    <xf numFmtId="0" fontId="46" fillId="4" borderId="3" xfId="0" applyFont="1" applyFill="1" applyBorder="1" applyAlignment="1">
      <alignment horizontal="center" vertical="center"/>
    </xf>
    <xf numFmtId="0" fontId="46" fillId="4" borderId="3" xfId="0" applyFont="1" applyFill="1" applyBorder="1"/>
    <xf numFmtId="44" fontId="46" fillId="4" borderId="3" xfId="0" applyNumberFormat="1" applyFont="1" applyFill="1" applyBorder="1"/>
    <xf numFmtId="0" fontId="46" fillId="4" borderId="0" xfId="0" applyFont="1" applyFill="1"/>
    <xf numFmtId="44" fontId="46" fillId="4" borderId="3" xfId="3" applyFont="1" applyFill="1" applyBorder="1"/>
    <xf numFmtId="0" fontId="46" fillId="20" borderId="3" xfId="0" applyFont="1" applyFill="1" applyBorder="1"/>
    <xf numFmtId="44" fontId="46" fillId="20" borderId="3" xfId="3" applyFont="1" applyFill="1" applyBorder="1"/>
    <xf numFmtId="0" fontId="46" fillId="4" borderId="0" xfId="0" applyFont="1" applyFill="1" applyAlignment="1">
      <alignment horizontal="center" vertical="center"/>
    </xf>
    <xf numFmtId="44" fontId="48" fillId="4" borderId="0" xfId="0" applyNumberFormat="1" applyFont="1" applyFill="1"/>
    <xf numFmtId="44" fontId="48" fillId="4" borderId="3" xfId="3" applyFont="1" applyFill="1" applyBorder="1"/>
    <xf numFmtId="44" fontId="46" fillId="4" borderId="0" xfId="0" applyNumberFormat="1" applyFont="1" applyFill="1"/>
    <xf numFmtId="0" fontId="31" fillId="0" borderId="3" xfId="0" applyFont="1" applyBorder="1" applyAlignment="1">
      <alignment horizontal="center"/>
    </xf>
    <xf numFmtId="44" fontId="31" fillId="0" borderId="3" xfId="3" applyFont="1" applyFill="1" applyBorder="1" applyAlignment="1">
      <alignment horizontal="center"/>
    </xf>
    <xf numFmtId="0" fontId="31" fillId="0" borderId="0" xfId="0" applyFont="1"/>
    <xf numFmtId="44" fontId="49" fillId="0" borderId="35" xfId="3" applyFont="1" applyFill="1" applyBorder="1" applyProtection="1">
      <protection locked="0"/>
    </xf>
    <xf numFmtId="44" fontId="50" fillId="0" borderId="3" xfId="3" applyFont="1" applyFill="1" applyBorder="1" applyProtection="1">
      <protection locked="0"/>
    </xf>
    <xf numFmtId="44" fontId="50" fillId="0" borderId="3" xfId="3" applyFont="1" applyFill="1" applyBorder="1" applyAlignment="1">
      <alignment horizontal="center"/>
    </xf>
    <xf numFmtId="44" fontId="51" fillId="0" borderId="3" xfId="3" applyFont="1" applyFill="1" applyBorder="1" applyAlignment="1">
      <alignment horizontal="center"/>
    </xf>
    <xf numFmtId="0" fontId="53" fillId="4" borderId="0" xfId="0" applyFont="1" applyFill="1"/>
    <xf numFmtId="44" fontId="46" fillId="4" borderId="3" xfId="0" applyNumberFormat="1" applyFont="1" applyFill="1" applyBorder="1" applyAlignment="1">
      <alignment vertical="center"/>
    </xf>
    <xf numFmtId="44" fontId="46" fillId="4" borderId="20" xfId="0" applyNumberFormat="1" applyFont="1" applyFill="1" applyBorder="1" applyAlignment="1">
      <alignment vertical="center"/>
    </xf>
    <xf numFmtId="44" fontId="49" fillId="4" borderId="3" xfId="0" applyNumberFormat="1" applyFont="1" applyFill="1" applyBorder="1" applyAlignment="1">
      <alignment vertical="center"/>
    </xf>
    <xf numFmtId="44" fontId="54" fillId="4" borderId="3" xfId="0" applyNumberFormat="1" applyFont="1" applyFill="1" applyBorder="1" applyAlignment="1">
      <alignment vertical="center"/>
    </xf>
    <xf numFmtId="44" fontId="54" fillId="4" borderId="13" xfId="0" applyNumberFormat="1" applyFont="1" applyFill="1" applyBorder="1" applyAlignment="1">
      <alignment vertical="center"/>
    </xf>
    <xf numFmtId="44" fontId="46" fillId="4" borderId="0" xfId="3" applyFont="1" applyFill="1"/>
    <xf numFmtId="44" fontId="54" fillId="4" borderId="13" xfId="0" applyNumberFormat="1" applyFont="1" applyFill="1" applyBorder="1" applyAlignment="1">
      <alignment horizontal="center"/>
    </xf>
    <xf numFmtId="44" fontId="46" fillId="0" borderId="3" xfId="0" applyNumberFormat="1" applyFont="1" applyBorder="1" applyAlignment="1">
      <alignment vertical="center"/>
    </xf>
    <xf numFmtId="44" fontId="46" fillId="0" borderId="20" xfId="0" applyNumberFormat="1" applyFont="1" applyBorder="1" applyAlignment="1">
      <alignment vertical="center"/>
    </xf>
    <xf numFmtId="44" fontId="49" fillId="0" borderId="3" xfId="0" applyNumberFormat="1" applyFont="1" applyBorder="1" applyAlignment="1">
      <alignment vertical="center"/>
    </xf>
    <xf numFmtId="44" fontId="54" fillId="0" borderId="3" xfId="3" applyFont="1" applyFill="1" applyBorder="1" applyAlignment="1">
      <alignment horizontal="center"/>
    </xf>
    <xf numFmtId="44" fontId="54" fillId="0" borderId="3" xfId="0" applyNumberFormat="1" applyFont="1" applyBorder="1" applyAlignment="1">
      <alignment vertical="center"/>
    </xf>
    <xf numFmtId="44" fontId="46" fillId="0" borderId="3" xfId="3" applyFont="1" applyFill="1" applyBorder="1"/>
    <xf numFmtId="44" fontId="54" fillId="0" borderId="3" xfId="0" applyNumberFormat="1" applyFont="1" applyBorder="1" applyAlignment="1">
      <alignment horizontal="center"/>
    </xf>
    <xf numFmtId="44" fontId="46" fillId="0" borderId="3" xfId="3" applyFont="1" applyFill="1" applyBorder="1" applyAlignment="1">
      <alignment horizontal="center"/>
    </xf>
    <xf numFmtId="44" fontId="46" fillId="0" borderId="20" xfId="3" applyFont="1" applyFill="1" applyBorder="1" applyAlignment="1">
      <alignment horizontal="center"/>
    </xf>
    <xf numFmtId="44" fontId="49" fillId="0" borderId="3" xfId="3" applyFont="1" applyFill="1" applyBorder="1" applyAlignment="1">
      <alignment horizontal="center"/>
    </xf>
    <xf numFmtId="167" fontId="46" fillId="0" borderId="3" xfId="3" applyNumberFormat="1" applyFont="1" applyFill="1" applyBorder="1" applyAlignment="1">
      <alignment horizontal="center"/>
    </xf>
    <xf numFmtId="44" fontId="55" fillId="0" borderId="3" xfId="3" applyFont="1" applyFill="1" applyBorder="1"/>
    <xf numFmtId="0" fontId="55" fillId="0" borderId="0" xfId="0" applyFont="1"/>
    <xf numFmtId="44" fontId="52" fillId="0" borderId="3" xfId="3" applyFont="1" applyFill="1" applyBorder="1" applyAlignment="1">
      <alignment horizontal="center"/>
    </xf>
    <xf numFmtId="44" fontId="54" fillId="0" borderId="3" xfId="3" applyFont="1" applyFill="1" applyBorder="1"/>
    <xf numFmtId="44" fontId="54" fillId="0" borderId="0" xfId="3" applyFont="1" applyFill="1" applyBorder="1" applyAlignment="1">
      <alignment horizontal="center"/>
    </xf>
    <xf numFmtId="44" fontId="56" fillId="0" borderId="3" xfId="3" applyFont="1" applyFill="1" applyBorder="1" applyProtection="1">
      <protection locked="0"/>
    </xf>
    <xf numFmtId="44" fontId="55" fillId="0" borderId="3" xfId="3" applyFont="1" applyFill="1" applyBorder="1" applyAlignment="1">
      <alignment horizontal="center"/>
    </xf>
    <xf numFmtId="44" fontId="54" fillId="0" borderId="0" xfId="3" applyFont="1" applyFill="1" applyAlignment="1">
      <alignment horizontal="center"/>
    </xf>
    <xf numFmtId="44" fontId="55" fillId="0" borderId="3" xfId="0" applyNumberFormat="1" applyFont="1" applyBorder="1"/>
    <xf numFmtId="44" fontId="58" fillId="4" borderId="3" xfId="0" applyNumberFormat="1" applyFont="1" applyFill="1" applyBorder="1" applyAlignment="1">
      <alignment horizontal="center"/>
    </xf>
    <xf numFmtId="44" fontId="57" fillId="4" borderId="3" xfId="0" applyNumberFormat="1" applyFont="1" applyFill="1" applyBorder="1" applyAlignment="1">
      <alignment horizontal="center"/>
    </xf>
    <xf numFmtId="44" fontId="49" fillId="4" borderId="3" xfId="0" applyNumberFormat="1" applyFont="1" applyFill="1" applyBorder="1" applyAlignment="1">
      <alignment horizontal="center"/>
    </xf>
    <xf numFmtId="44" fontId="49" fillId="4" borderId="3" xfId="2" applyNumberFormat="1" applyFont="1" applyFill="1" applyBorder="1" applyAlignment="1">
      <alignment horizontal="center"/>
    </xf>
    <xf numFmtId="44" fontId="49" fillId="4" borderId="3" xfId="3" applyFont="1" applyFill="1" applyBorder="1" applyAlignment="1">
      <alignment horizontal="center"/>
    </xf>
    <xf numFmtId="44" fontId="46" fillId="4" borderId="0" xfId="3" applyFont="1" applyFill="1" applyAlignment="1">
      <alignment horizontal="center"/>
    </xf>
    <xf numFmtId="44" fontId="49" fillId="4" borderId="0" xfId="3" applyFont="1" applyFill="1" applyAlignment="1">
      <alignment horizontal="center"/>
    </xf>
    <xf numFmtId="44" fontId="54" fillId="4" borderId="0" xfId="3" applyFont="1" applyFill="1" applyAlignment="1">
      <alignment horizontal="center"/>
    </xf>
    <xf numFmtId="44" fontId="49" fillId="4" borderId="0" xfId="2" applyNumberFormat="1" applyFont="1" applyFill="1" applyAlignment="1">
      <alignment horizontal="center"/>
    </xf>
    <xf numFmtId="44" fontId="59" fillId="4" borderId="0" xfId="3" applyFont="1" applyFill="1" applyAlignment="1">
      <alignment horizontal="center"/>
    </xf>
    <xf numFmtId="0" fontId="54" fillId="4" borderId="0" xfId="0" applyFont="1" applyFill="1" applyAlignment="1">
      <alignment horizontal="center"/>
    </xf>
    <xf numFmtId="44" fontId="61" fillId="0" borderId="4" xfId="3" applyFont="1" applyFill="1" applyBorder="1" applyAlignment="1">
      <alignment horizontal="center"/>
    </xf>
    <xf numFmtId="44" fontId="61" fillId="0" borderId="4" xfId="3" applyFont="1" applyFill="1" applyBorder="1"/>
    <xf numFmtId="44" fontId="31" fillId="0" borderId="13" xfId="3" applyFont="1" applyFill="1" applyBorder="1" applyAlignment="1">
      <alignment horizontal="center"/>
    </xf>
    <xf numFmtId="44" fontId="62" fillId="0" borderId="4" xfId="3" applyFont="1" applyFill="1" applyBorder="1" applyAlignment="1">
      <alignment horizontal="center"/>
    </xf>
    <xf numFmtId="44" fontId="35" fillId="29" borderId="0" xfId="3" applyFont="1" applyFill="1" applyAlignment="1">
      <alignment horizontal="center"/>
    </xf>
    <xf numFmtId="44" fontId="13" fillId="0" borderId="0" xfId="3" applyFont="1" applyFill="1" applyBorder="1"/>
    <xf numFmtId="0" fontId="31" fillId="0" borderId="0" xfId="3" applyNumberFormat="1" applyFont="1" applyFill="1" applyAlignment="1">
      <alignment horizontal="center" vertical="center"/>
    </xf>
    <xf numFmtId="44" fontId="31" fillId="0" borderId="0" xfId="3" applyFont="1" applyFill="1"/>
    <xf numFmtId="44" fontId="31" fillId="0" borderId="3" xfId="3" applyFont="1" applyFill="1" applyBorder="1"/>
    <xf numFmtId="0" fontId="29" fillId="0" borderId="3" xfId="11" applyFont="1" applyFill="1" applyBorder="1" applyAlignment="1">
      <alignment horizontal="center" vertical="center"/>
    </xf>
    <xf numFmtId="0" fontId="29" fillId="0" borderId="3" xfId="11" applyNumberFormat="1" applyFont="1" applyFill="1" applyBorder="1" applyAlignment="1">
      <alignment horizontal="center" vertical="center"/>
    </xf>
    <xf numFmtId="44" fontId="29" fillId="0" borderId="3" xfId="3" applyFont="1" applyFill="1" applyBorder="1" applyAlignment="1">
      <alignment horizontal="center" vertical="center"/>
    </xf>
    <xf numFmtId="44" fontId="31" fillId="0" borderId="0" xfId="3" applyFont="1" applyFill="1" applyAlignment="1">
      <alignment horizontal="center"/>
    </xf>
    <xf numFmtId="44" fontId="29" fillId="0" borderId="0" xfId="3" applyFont="1" applyFill="1" applyAlignment="1">
      <alignment horizontal="center"/>
    </xf>
    <xf numFmtId="0" fontId="31" fillId="0" borderId="0" xfId="3" applyNumberFormat="1" applyFont="1" applyFill="1" applyBorder="1" applyAlignment="1">
      <alignment horizontal="center"/>
    </xf>
    <xf numFmtId="44" fontId="31" fillId="0" borderId="0" xfId="3" applyFont="1" applyFill="1" applyBorder="1" applyAlignment="1">
      <alignment horizontal="center"/>
    </xf>
    <xf numFmtId="44" fontId="29" fillId="0" borderId="13" xfId="3" applyFont="1" applyFill="1" applyBorder="1" applyAlignment="1">
      <alignment horizontal="center" vertical="center"/>
    </xf>
    <xf numFmtId="44" fontId="31" fillId="0" borderId="9" xfId="3" applyFont="1" applyFill="1" applyBorder="1" applyAlignment="1">
      <alignment horizontal="center"/>
    </xf>
    <xf numFmtId="44" fontId="31" fillId="0" borderId="14" xfId="3" applyFont="1" applyFill="1" applyBorder="1" applyAlignment="1">
      <alignment horizontal="center"/>
    </xf>
    <xf numFmtId="44" fontId="29" fillId="0" borderId="0" xfId="3" applyFont="1" applyFill="1"/>
    <xf numFmtId="0" fontId="31" fillId="0" borderId="3" xfId="3" applyNumberFormat="1" applyFont="1" applyFill="1" applyBorder="1" applyAlignment="1">
      <alignment horizontal="center" vertical="center"/>
    </xf>
    <xf numFmtId="44" fontId="61" fillId="0" borderId="0" xfId="3" applyFont="1" applyFill="1" applyAlignment="1">
      <alignment horizontal="center"/>
    </xf>
    <xf numFmtId="0" fontId="29" fillId="0" borderId="0" xfId="11" applyFont="1" applyFill="1" applyBorder="1" applyAlignment="1">
      <alignment horizontal="center" vertical="center"/>
    </xf>
    <xf numFmtId="0" fontId="31" fillId="0" borderId="14" xfId="3" applyNumberFormat="1" applyFont="1" applyFill="1" applyBorder="1" applyAlignment="1">
      <alignment horizontal="center" vertical="center"/>
    </xf>
    <xf numFmtId="44" fontId="31" fillId="0" borderId="14" xfId="3" applyFont="1" applyFill="1" applyBorder="1"/>
    <xf numFmtId="44" fontId="29" fillId="0" borderId="14" xfId="3" applyFont="1" applyFill="1" applyBorder="1"/>
    <xf numFmtId="0" fontId="29" fillId="0" borderId="13" xfId="11" applyFont="1" applyFill="1" applyBorder="1" applyAlignment="1">
      <alignment horizontal="center" vertical="center"/>
    </xf>
    <xf numFmtId="44" fontId="29" fillId="0" borderId="49" xfId="3" applyFont="1" applyFill="1" applyBorder="1" applyAlignment="1">
      <alignment horizontal="center" vertical="center"/>
    </xf>
    <xf numFmtId="44" fontId="61" fillId="0" borderId="4" xfId="3" applyFont="1" applyFill="1" applyBorder="1" applyAlignment="1">
      <alignment horizontal="center" vertical="center"/>
    </xf>
    <xf numFmtId="44" fontId="29" fillId="0" borderId="0" xfId="3" applyFont="1" applyFill="1" applyBorder="1" applyAlignment="1">
      <alignment horizontal="center" vertical="center"/>
    </xf>
    <xf numFmtId="44" fontId="31" fillId="0" borderId="5" xfId="3" applyFont="1" applyFill="1" applyBorder="1" applyAlignment="1">
      <alignment horizontal="center"/>
    </xf>
    <xf numFmtId="0" fontId="29" fillId="0" borderId="3" xfId="3" applyNumberFormat="1" applyFont="1" applyFill="1" applyBorder="1" applyAlignment="1">
      <alignment horizontal="center" vertical="center"/>
    </xf>
    <xf numFmtId="0" fontId="29" fillId="0" borderId="0" xfId="3" applyNumberFormat="1" applyFont="1" applyFill="1" applyAlignment="1">
      <alignment horizontal="center" vertical="center"/>
    </xf>
    <xf numFmtId="44" fontId="61" fillId="0" borderId="0" xfId="3" applyFont="1" applyFill="1"/>
    <xf numFmtId="44" fontId="31" fillId="0" borderId="20" xfId="3" applyFont="1" applyFill="1" applyBorder="1" applyAlignment="1">
      <alignment horizontal="center"/>
    </xf>
    <xf numFmtId="44" fontId="31" fillId="0" borderId="21" xfId="3" applyFont="1" applyFill="1" applyBorder="1" applyAlignment="1">
      <alignment horizontal="center"/>
    </xf>
    <xf numFmtId="44" fontId="62" fillId="0" borderId="10" xfId="3" applyFont="1" applyFill="1" applyBorder="1" applyAlignment="1">
      <alignment horizontal="center"/>
    </xf>
    <xf numFmtId="44" fontId="31" fillId="0" borderId="49" xfId="3" applyFont="1" applyFill="1" applyBorder="1" applyAlignment="1">
      <alignment horizontal="center"/>
    </xf>
    <xf numFmtId="44" fontId="62" fillId="0" borderId="4" xfId="3" applyFont="1" applyFill="1" applyBorder="1"/>
    <xf numFmtId="44" fontId="28" fillId="0" borderId="0" xfId="3" applyFont="1" applyFill="1"/>
    <xf numFmtId="44" fontId="65" fillId="0" borderId="3" xfId="3" applyFont="1" applyFill="1" applyBorder="1" applyAlignment="1">
      <alignment horizontal="center"/>
    </xf>
    <xf numFmtId="44" fontId="29" fillId="0" borderId="0" xfId="3" applyFont="1" applyFill="1" applyBorder="1" applyAlignment="1">
      <alignment horizontal="center"/>
    </xf>
    <xf numFmtId="44" fontId="63" fillId="0" borderId="4" xfId="3" applyFont="1" applyFill="1" applyBorder="1"/>
    <xf numFmtId="44" fontId="60" fillId="0" borderId="4" xfId="3" applyFont="1" applyFill="1" applyBorder="1"/>
    <xf numFmtId="44" fontId="61" fillId="0" borderId="10" xfId="3" applyFont="1" applyFill="1" applyBorder="1" applyAlignment="1">
      <alignment horizontal="center"/>
    </xf>
    <xf numFmtId="44" fontId="61" fillId="0" borderId="3" xfId="3" applyFont="1" applyFill="1" applyBorder="1" applyAlignment="1">
      <alignment horizontal="center"/>
    </xf>
    <xf numFmtId="44" fontId="35" fillId="0" borderId="0" xfId="3" applyFont="1" applyFill="1" applyAlignment="1">
      <alignment horizontal="center"/>
    </xf>
    <xf numFmtId="0" fontId="31" fillId="0" borderId="0" xfId="0" applyFont="1" applyAlignment="1">
      <alignment horizontal="center"/>
    </xf>
    <xf numFmtId="0" fontId="31" fillId="0" borderId="3" xfId="0" applyFont="1" applyBorder="1"/>
    <xf numFmtId="0" fontId="31" fillId="0" borderId="3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9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40" fillId="0" borderId="14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31" fillId="0" borderId="21" xfId="0" applyFont="1" applyBorder="1" applyAlignment="1">
      <alignment horizontal="center"/>
    </xf>
    <xf numFmtId="0" fontId="31" fillId="0" borderId="21" xfId="0" applyFont="1" applyBorder="1" applyAlignment="1">
      <alignment horizontal="center" vertical="center"/>
    </xf>
    <xf numFmtId="0" fontId="29" fillId="0" borderId="0" xfId="0" applyFont="1"/>
    <xf numFmtId="0" fontId="54" fillId="0" borderId="0" xfId="0" applyFont="1"/>
    <xf numFmtId="44" fontId="31" fillId="0" borderId="3" xfId="3" applyFont="1" applyBorder="1" applyAlignment="1">
      <alignment horizontal="center"/>
    </xf>
    <xf numFmtId="0" fontId="67" fillId="15" borderId="4" xfId="4" applyFont="1" applyFill="1" applyBorder="1" applyAlignment="1">
      <alignment horizontal="center" vertical="center"/>
    </xf>
    <xf numFmtId="44" fontId="67" fillId="15" borderId="4" xfId="4" applyNumberFormat="1" applyFont="1" applyFill="1" applyBorder="1" applyAlignment="1">
      <alignment horizontal="center" vertical="center"/>
    </xf>
    <xf numFmtId="0" fontId="67" fillId="0" borderId="0" xfId="0" applyFont="1"/>
    <xf numFmtId="165" fontId="67" fillId="15" borderId="4" xfId="4" applyNumberFormat="1" applyFont="1" applyFill="1" applyBorder="1" applyAlignment="1">
      <alignment horizontal="center" vertical="center"/>
    </xf>
    <xf numFmtId="167" fontId="67" fillId="15" borderId="4" xfId="4" applyNumberFormat="1" applyFont="1" applyFill="1" applyBorder="1" applyAlignment="1">
      <alignment horizontal="center" vertical="center"/>
    </xf>
    <xf numFmtId="0" fontId="68" fillId="0" borderId="0" xfId="4" applyFont="1" applyFill="1" applyBorder="1" applyAlignment="1">
      <alignment horizontal="center" vertical="center"/>
    </xf>
    <xf numFmtId="44" fontId="68" fillId="0" borderId="0" xfId="4" applyNumberFormat="1" applyFont="1" applyFill="1" applyBorder="1" applyAlignment="1">
      <alignment horizontal="center" vertical="center"/>
    </xf>
    <xf numFmtId="0" fontId="68" fillId="0" borderId="0" xfId="0" applyFont="1"/>
    <xf numFmtId="0" fontId="68" fillId="0" borderId="5" xfId="0" applyFont="1" applyBorder="1" applyAlignment="1">
      <alignment horizontal="center"/>
    </xf>
    <xf numFmtId="44" fontId="68" fillId="0" borderId="5" xfId="3" applyFont="1" applyFill="1" applyBorder="1" applyAlignment="1">
      <alignment horizontal="center"/>
    </xf>
    <xf numFmtId="0" fontId="68" fillId="0" borderId="3" xfId="0" applyFont="1" applyBorder="1" applyAlignment="1">
      <alignment horizontal="center"/>
    </xf>
    <xf numFmtId="44" fontId="68" fillId="0" borderId="3" xfId="3" applyFont="1" applyFill="1" applyBorder="1" applyAlignment="1">
      <alignment horizontal="center"/>
    </xf>
    <xf numFmtId="44" fontId="68" fillId="0" borderId="3" xfId="0" applyNumberFormat="1" applyFont="1" applyBorder="1" applyAlignment="1">
      <alignment horizontal="center"/>
    </xf>
    <xf numFmtId="0" fontId="70" fillId="0" borderId="3" xfId="7" applyFont="1" applyBorder="1" applyAlignment="1">
      <alignment horizontal="center"/>
    </xf>
    <xf numFmtId="44" fontId="69" fillId="26" borderId="3" xfId="7" applyNumberFormat="1" applyFont="1" applyFill="1" applyBorder="1" applyAlignment="1">
      <alignment horizontal="center"/>
    </xf>
    <xf numFmtId="0" fontId="68" fillId="0" borderId="0" xfId="0" applyFont="1" applyAlignment="1">
      <alignment horizontal="center"/>
    </xf>
    <xf numFmtId="44" fontId="68" fillId="0" borderId="0" xfId="3" applyFont="1" applyFill="1" applyBorder="1" applyAlignment="1">
      <alignment horizontal="center"/>
    </xf>
    <xf numFmtId="0" fontId="68" fillId="27" borderId="4" xfId="0" applyFont="1" applyFill="1" applyBorder="1" applyAlignment="1">
      <alignment horizontal="center"/>
    </xf>
    <xf numFmtId="44" fontId="68" fillId="27" borderId="0" xfId="4" applyNumberFormat="1" applyFont="1" applyFill="1" applyAlignment="1">
      <alignment horizontal="center" vertical="center"/>
    </xf>
    <xf numFmtId="0" fontId="68" fillId="0" borderId="4" xfId="0" applyFont="1" applyBorder="1" applyAlignment="1">
      <alignment horizontal="center"/>
    </xf>
    <xf numFmtId="44" fontId="68" fillId="0" borderId="4" xfId="0" applyNumberFormat="1" applyFont="1" applyBorder="1" applyAlignment="1">
      <alignment horizontal="center"/>
    </xf>
    <xf numFmtId="0" fontId="68" fillId="27" borderId="4" xfId="4" applyFont="1" applyFill="1" applyBorder="1" applyAlignment="1">
      <alignment horizontal="center" vertical="center"/>
    </xf>
    <xf numFmtId="44" fontId="68" fillId="27" borderId="4" xfId="4" applyNumberFormat="1" applyFont="1" applyFill="1" applyBorder="1" applyAlignment="1">
      <alignment horizontal="center" vertical="center"/>
    </xf>
    <xf numFmtId="165" fontId="68" fillId="0" borderId="23" xfId="4" applyNumberFormat="1" applyFont="1" applyFill="1" applyBorder="1" applyAlignment="1">
      <alignment horizontal="center" vertical="center"/>
    </xf>
    <xf numFmtId="44" fontId="68" fillId="0" borderId="23" xfId="3" applyFont="1" applyFill="1" applyBorder="1" applyAlignment="1">
      <alignment horizontal="center" vertical="center"/>
    </xf>
    <xf numFmtId="165" fontId="68" fillId="0" borderId="5" xfId="4" applyNumberFormat="1" applyFont="1" applyFill="1" applyBorder="1" applyAlignment="1">
      <alignment horizontal="center" vertical="center"/>
    </xf>
    <xf numFmtId="44" fontId="68" fillId="0" borderId="5" xfId="3" applyFont="1" applyFill="1" applyBorder="1" applyAlignment="1">
      <alignment horizontal="center" vertical="center"/>
    </xf>
    <xf numFmtId="0" fontId="67" fillId="0" borderId="3" xfId="0" applyFont="1" applyBorder="1" applyAlignment="1">
      <alignment horizontal="center"/>
    </xf>
    <xf numFmtId="44" fontId="67" fillId="0" borderId="3" xfId="0" applyNumberFormat="1" applyFont="1" applyBorder="1" applyAlignment="1">
      <alignment horizontal="center"/>
    </xf>
    <xf numFmtId="44" fontId="68" fillId="0" borderId="0" xfId="0" applyNumberFormat="1" applyFont="1" applyAlignment="1">
      <alignment horizontal="center"/>
    </xf>
    <xf numFmtId="44" fontId="68" fillId="0" borderId="0" xfId="3" applyFont="1" applyAlignment="1">
      <alignment horizontal="center"/>
    </xf>
    <xf numFmtId="0" fontId="67" fillId="27" borderId="0" xfId="4" applyFont="1" applyFill="1" applyAlignment="1">
      <alignment horizontal="center" vertical="center"/>
    </xf>
    <xf numFmtId="44" fontId="67" fillId="27" borderId="0" xfId="4" applyNumberFormat="1" applyFont="1" applyFill="1" applyAlignment="1">
      <alignment horizontal="center" vertical="center"/>
    </xf>
    <xf numFmtId="44" fontId="67" fillId="0" borderId="0" xfId="3" applyFont="1"/>
    <xf numFmtId="44" fontId="67" fillId="26" borderId="3" xfId="0" applyNumberFormat="1" applyFont="1" applyFill="1" applyBorder="1" applyAlignment="1">
      <alignment horizontal="center"/>
    </xf>
    <xf numFmtId="0" fontId="67" fillId="26" borderId="4" xfId="4" applyFont="1" applyFill="1" applyBorder="1" applyAlignment="1">
      <alignment horizontal="center" vertical="center"/>
    </xf>
    <xf numFmtId="44" fontId="67" fillId="26" borderId="4" xfId="4" applyNumberFormat="1" applyFont="1" applyFill="1" applyBorder="1" applyAlignment="1">
      <alignment horizontal="center" vertical="center"/>
    </xf>
    <xf numFmtId="165" fontId="67" fillId="26" borderId="4" xfId="4" applyNumberFormat="1" applyFont="1" applyFill="1" applyBorder="1" applyAlignment="1">
      <alignment horizontal="center" vertical="center"/>
    </xf>
    <xf numFmtId="0" fontId="68" fillId="4" borderId="0" xfId="0" applyFont="1" applyFill="1"/>
    <xf numFmtId="44" fontId="68" fillId="0" borderId="5" xfId="3" applyFont="1" applyBorder="1" applyAlignment="1">
      <alignment horizontal="center"/>
    </xf>
    <xf numFmtId="44" fontId="68" fillId="0" borderId="3" xfId="3" applyFont="1" applyBorder="1" applyAlignment="1">
      <alignment horizontal="center"/>
    </xf>
    <xf numFmtId="44" fontId="68" fillId="0" borderId="0" xfId="3" applyFont="1"/>
    <xf numFmtId="44" fontId="68" fillId="0" borderId="5" xfId="0" applyNumberFormat="1" applyFont="1" applyBorder="1" applyAlignment="1">
      <alignment horizontal="center"/>
    </xf>
    <xf numFmtId="44" fontId="67" fillId="0" borderId="3" xfId="3" applyFont="1" applyBorder="1" applyAlignment="1">
      <alignment horizontal="center"/>
    </xf>
    <xf numFmtId="0" fontId="71" fillId="0" borderId="27" xfId="5" applyFont="1" applyAlignment="1">
      <alignment horizontal="center"/>
    </xf>
    <xf numFmtId="0" fontId="72" fillId="0" borderId="3" xfId="0" applyFont="1" applyBorder="1" applyAlignment="1">
      <alignment horizontal="center"/>
    </xf>
    <xf numFmtId="44" fontId="72" fillId="0" borderId="3" xfId="3" applyFont="1" applyFill="1" applyBorder="1" applyAlignment="1">
      <alignment horizontal="center"/>
    </xf>
    <xf numFmtId="0" fontId="68" fillId="27" borderId="0" xfId="4" applyFont="1" applyFill="1" applyAlignment="1">
      <alignment horizontal="center" vertical="center"/>
    </xf>
    <xf numFmtId="0" fontId="67" fillId="0" borderId="0" xfId="0" applyFont="1" applyAlignment="1">
      <alignment horizontal="center"/>
    </xf>
    <xf numFmtId="44" fontId="67" fillId="0" borderId="0" xfId="0" applyNumberFormat="1" applyFont="1" applyAlignment="1">
      <alignment horizontal="center"/>
    </xf>
    <xf numFmtId="44" fontId="67" fillId="26" borderId="4" xfId="4" applyNumberFormat="1" applyFont="1" applyFill="1" applyBorder="1" applyAlignment="1">
      <alignment horizontal="center"/>
    </xf>
    <xf numFmtId="0" fontId="68" fillId="7" borderId="0" xfId="0" applyFont="1" applyFill="1" applyAlignment="1">
      <alignment horizontal="center"/>
    </xf>
    <xf numFmtId="44" fontId="68" fillId="7" borderId="0" xfId="3" applyFont="1" applyFill="1" applyAlignment="1">
      <alignment horizontal="center"/>
    </xf>
    <xf numFmtId="0" fontId="68" fillId="0" borderId="39" xfId="0" applyFont="1" applyBorder="1" applyAlignment="1">
      <alignment horizontal="center"/>
    </xf>
    <xf numFmtId="44" fontId="68" fillId="0" borderId="23" xfId="3" applyFont="1" applyBorder="1" applyAlignment="1">
      <alignment horizontal="center"/>
    </xf>
    <xf numFmtId="0" fontId="68" fillId="0" borderId="40" xfId="0" applyFont="1" applyBorder="1" applyAlignment="1">
      <alignment horizontal="center"/>
    </xf>
    <xf numFmtId="0" fontId="67" fillId="0" borderId="41" xfId="0" applyFont="1" applyBorder="1" applyAlignment="1">
      <alignment horizontal="center"/>
    </xf>
    <xf numFmtId="44" fontId="67" fillId="0" borderId="36" xfId="3" applyFont="1" applyBorder="1" applyAlignment="1">
      <alignment horizontal="center"/>
    </xf>
    <xf numFmtId="44" fontId="67" fillId="0" borderId="42" xfId="3" applyFont="1" applyBorder="1" applyAlignment="1">
      <alignment horizontal="center"/>
    </xf>
    <xf numFmtId="44" fontId="68" fillId="0" borderId="0" xfId="3" applyFont="1" applyBorder="1" applyAlignment="1">
      <alignment horizontal="center"/>
    </xf>
    <xf numFmtId="0" fontId="68" fillId="27" borderId="0" xfId="0" applyFont="1" applyFill="1" applyAlignment="1">
      <alignment horizontal="center"/>
    </xf>
    <xf numFmtId="0" fontId="67" fillId="0" borderId="4" xfId="0" applyFont="1" applyBorder="1" applyAlignment="1">
      <alignment horizontal="center"/>
    </xf>
    <xf numFmtId="0" fontId="68" fillId="26" borderId="3" xfId="0" applyFont="1" applyFill="1" applyBorder="1" applyAlignment="1">
      <alignment horizontal="center"/>
    </xf>
    <xf numFmtId="44" fontId="73" fillId="26" borderId="3" xfId="4" applyNumberFormat="1" applyFont="1" applyFill="1" applyBorder="1" applyAlignment="1">
      <alignment horizontal="center"/>
    </xf>
    <xf numFmtId="44" fontId="68" fillId="7" borderId="0" xfId="3" applyFont="1" applyFill="1" applyBorder="1" applyAlignment="1">
      <alignment horizontal="center"/>
    </xf>
    <xf numFmtId="165" fontId="67" fillId="4" borderId="25" xfId="4" applyNumberFormat="1" applyFont="1" applyFill="1" applyBorder="1" applyAlignment="1">
      <alignment horizontal="center" vertical="center"/>
    </xf>
    <xf numFmtId="44" fontId="67" fillId="4" borderId="28" xfId="4" applyNumberFormat="1" applyFont="1" applyFill="1" applyBorder="1" applyAlignment="1">
      <alignment horizontal="center" vertical="center"/>
    </xf>
    <xf numFmtId="44" fontId="67" fillId="4" borderId="26" xfId="4" applyNumberFormat="1" applyFont="1" applyFill="1" applyBorder="1" applyAlignment="1">
      <alignment horizontal="center" vertical="center"/>
    </xf>
    <xf numFmtId="0" fontId="67" fillId="4" borderId="0" xfId="0" applyFont="1" applyFill="1"/>
    <xf numFmtId="165" fontId="68" fillId="0" borderId="5" xfId="0" applyNumberFormat="1" applyFont="1" applyBorder="1" applyAlignment="1">
      <alignment horizontal="center"/>
    </xf>
    <xf numFmtId="0" fontId="67" fillId="27" borderId="3" xfId="0" applyFont="1" applyFill="1" applyBorder="1" applyAlignment="1">
      <alignment horizontal="center"/>
    </xf>
    <xf numFmtId="44" fontId="67" fillId="27" borderId="3" xfId="3" applyFont="1" applyFill="1" applyBorder="1" applyAlignment="1">
      <alignment horizontal="center"/>
    </xf>
    <xf numFmtId="44" fontId="72" fillId="0" borderId="3" xfId="0" applyNumberFormat="1" applyFont="1" applyBorder="1" applyAlignment="1">
      <alignment horizontal="center"/>
    </xf>
    <xf numFmtId="0" fontId="68" fillId="26" borderId="4" xfId="4" applyFont="1" applyFill="1" applyBorder="1" applyAlignment="1">
      <alignment horizontal="center" vertical="center"/>
    </xf>
    <xf numFmtId="44" fontId="68" fillId="26" borderId="4" xfId="4" applyNumberFormat="1" applyFont="1" applyFill="1" applyBorder="1" applyAlignment="1">
      <alignment horizontal="center" vertical="center"/>
    </xf>
    <xf numFmtId="44" fontId="68" fillId="0" borderId="23" xfId="4" applyNumberFormat="1" applyFont="1" applyFill="1" applyBorder="1" applyAlignment="1">
      <alignment horizontal="center" vertical="center"/>
    </xf>
    <xf numFmtId="44" fontId="68" fillId="0" borderId="3" xfId="4" applyNumberFormat="1" applyFont="1" applyFill="1" applyBorder="1" applyAlignment="1">
      <alignment horizontal="center" vertical="center"/>
    </xf>
    <xf numFmtId="0" fontId="68" fillId="0" borderId="3" xfId="4" applyFont="1" applyFill="1" applyBorder="1" applyAlignment="1">
      <alignment horizontal="center" vertical="center"/>
    </xf>
    <xf numFmtId="0" fontId="67" fillId="26" borderId="3" xfId="0" applyFont="1" applyFill="1" applyBorder="1" applyAlignment="1">
      <alignment horizontal="center"/>
    </xf>
    <xf numFmtId="0" fontId="68" fillId="26" borderId="0" xfId="4" applyFont="1" applyFill="1" applyAlignment="1">
      <alignment horizontal="center" vertical="center"/>
    </xf>
    <xf numFmtId="44" fontId="68" fillId="26" borderId="0" xfId="4" applyNumberFormat="1" applyFont="1" applyFill="1" applyAlignment="1">
      <alignment horizontal="center" vertical="center"/>
    </xf>
    <xf numFmtId="0" fontId="74" fillId="26" borderId="4" xfId="4" applyFont="1" applyFill="1" applyBorder="1" applyAlignment="1">
      <alignment horizontal="center" vertical="center"/>
    </xf>
    <xf numFmtId="44" fontId="74" fillId="26" borderId="4" xfId="4" applyNumberFormat="1" applyFont="1" applyFill="1" applyBorder="1" applyAlignment="1">
      <alignment horizontal="center" vertical="center"/>
    </xf>
    <xf numFmtId="165" fontId="74" fillId="26" borderId="4" xfId="4" applyNumberFormat="1" applyFont="1" applyFill="1" applyBorder="1" applyAlignment="1">
      <alignment horizontal="center" vertical="center"/>
    </xf>
    <xf numFmtId="0" fontId="68" fillId="4" borderId="0" xfId="4" applyFont="1" applyFill="1" applyBorder="1" applyAlignment="1">
      <alignment horizontal="center" vertical="center"/>
    </xf>
    <xf numFmtId="44" fontId="68" fillId="4" borderId="0" xfId="4" applyNumberFormat="1" applyFont="1" applyFill="1" applyBorder="1" applyAlignment="1">
      <alignment horizontal="center" vertical="center"/>
    </xf>
    <xf numFmtId="44" fontId="68" fillId="0" borderId="3" xfId="0" applyNumberFormat="1" applyFont="1" applyBorder="1" applyAlignment="1">
      <alignment horizontal="center" vertical="center"/>
    </xf>
    <xf numFmtId="44" fontId="67" fillId="26" borderId="3" xfId="3" applyFont="1" applyFill="1" applyBorder="1" applyAlignment="1">
      <alignment horizontal="center"/>
    </xf>
    <xf numFmtId="0" fontId="68" fillId="8" borderId="0" xfId="0" applyFont="1" applyFill="1" applyAlignment="1">
      <alignment horizontal="center"/>
    </xf>
    <xf numFmtId="44" fontId="68" fillId="8" borderId="0" xfId="3" applyFont="1" applyFill="1" applyAlignment="1">
      <alignment horizontal="center"/>
    </xf>
    <xf numFmtId="165" fontId="68" fillId="0" borderId="3" xfId="0" applyNumberFormat="1" applyFont="1" applyBorder="1" applyAlignment="1">
      <alignment horizontal="center"/>
    </xf>
    <xf numFmtId="0" fontId="68" fillId="20" borderId="4" xfId="4" applyFont="1" applyFill="1" applyBorder="1" applyAlignment="1">
      <alignment horizontal="center" vertical="center"/>
    </xf>
    <xf numFmtId="44" fontId="68" fillId="20" borderId="4" xfId="4" applyNumberFormat="1" applyFont="1" applyFill="1" applyBorder="1" applyAlignment="1">
      <alignment horizontal="center" vertical="center"/>
    </xf>
    <xf numFmtId="44" fontId="68" fillId="0" borderId="5" xfId="4" applyNumberFormat="1" applyFont="1" applyFill="1" applyBorder="1" applyAlignment="1">
      <alignment horizontal="center" vertical="center"/>
    </xf>
    <xf numFmtId="0" fontId="69" fillId="20" borderId="3" xfId="8" applyFont="1" applyFill="1" applyBorder="1" applyAlignment="1">
      <alignment horizontal="center"/>
    </xf>
    <xf numFmtId="44" fontId="69" fillId="20" borderId="3" xfId="8" applyNumberFormat="1" applyFont="1" applyFill="1" applyBorder="1" applyAlignment="1">
      <alignment horizontal="center"/>
    </xf>
    <xf numFmtId="0" fontId="68" fillId="20" borderId="0" xfId="4" applyFont="1" applyFill="1" applyAlignment="1">
      <alignment horizontal="center" vertical="center"/>
    </xf>
    <xf numFmtId="44" fontId="68" fillId="20" borderId="0" xfId="4" applyNumberFormat="1" applyFont="1" applyFill="1" applyAlignment="1">
      <alignment horizontal="center" vertical="center"/>
    </xf>
    <xf numFmtId="0" fontId="70" fillId="26" borderId="3" xfId="8" applyFont="1" applyFill="1" applyBorder="1" applyAlignment="1">
      <alignment horizontal="center"/>
    </xf>
    <xf numFmtId="44" fontId="70" fillId="26" borderId="3" xfId="8" applyNumberFormat="1" applyFont="1" applyFill="1" applyBorder="1" applyAlignment="1">
      <alignment horizontal="center"/>
    </xf>
    <xf numFmtId="165" fontId="68" fillId="0" borderId="0" xfId="4" applyNumberFormat="1" applyFont="1" applyFill="1" applyBorder="1" applyAlignment="1">
      <alignment horizontal="center" vertical="center"/>
    </xf>
    <xf numFmtId="0" fontId="69" fillId="27" borderId="3" xfId="0" applyFont="1" applyFill="1" applyBorder="1" applyAlignment="1">
      <alignment horizontal="center"/>
    </xf>
    <xf numFmtId="44" fontId="69" fillId="27" borderId="3" xfId="3" applyFont="1" applyFill="1" applyBorder="1" applyAlignment="1">
      <alignment horizontal="center"/>
    </xf>
    <xf numFmtId="44" fontId="68" fillId="0" borderId="0" xfId="4" applyNumberFormat="1" applyFont="1" applyFill="1" applyAlignment="1">
      <alignment horizontal="center" vertical="center"/>
    </xf>
    <xf numFmtId="44" fontId="69" fillId="26" borderId="4" xfId="8" applyNumberFormat="1" applyFont="1" applyFill="1" applyBorder="1" applyAlignment="1">
      <alignment horizontal="center"/>
    </xf>
    <xf numFmtId="44" fontId="68" fillId="8" borderId="0" xfId="0" applyNumberFormat="1" applyFont="1" applyFill="1" applyAlignment="1">
      <alignment horizontal="center"/>
    </xf>
    <xf numFmtId="0" fontId="69" fillId="26" borderId="4" xfId="4" applyFont="1" applyFill="1" applyBorder="1" applyAlignment="1">
      <alignment horizontal="center" vertical="center"/>
    </xf>
    <xf numFmtId="44" fontId="69" fillId="26" borderId="4" xfId="4" applyNumberFormat="1" applyFont="1" applyFill="1" applyBorder="1" applyAlignment="1">
      <alignment horizontal="center" vertical="center"/>
    </xf>
    <xf numFmtId="0" fontId="70" fillId="0" borderId="3" xfId="8" applyFont="1" applyFill="1" applyBorder="1" applyAlignment="1">
      <alignment horizontal="center"/>
    </xf>
    <xf numFmtId="44" fontId="70" fillId="0" borderId="3" xfId="8" applyNumberFormat="1" applyFont="1" applyFill="1" applyBorder="1" applyAlignment="1">
      <alignment horizontal="center"/>
    </xf>
    <xf numFmtId="0" fontId="70" fillId="27" borderId="3" xfId="8" applyFont="1" applyFill="1" applyBorder="1" applyAlignment="1">
      <alignment horizontal="center"/>
    </xf>
    <xf numFmtId="44" fontId="70" fillId="27" borderId="3" xfId="8" applyNumberFormat="1" applyFont="1" applyFill="1" applyBorder="1" applyAlignment="1">
      <alignment horizontal="center"/>
    </xf>
    <xf numFmtId="44" fontId="70" fillId="26" borderId="4" xfId="8" applyNumberFormat="1" applyFont="1" applyFill="1" applyBorder="1" applyAlignment="1">
      <alignment horizontal="center"/>
    </xf>
    <xf numFmtId="165" fontId="68" fillId="0" borderId="25" xfId="4" applyNumberFormat="1" applyFont="1" applyFill="1" applyBorder="1" applyAlignment="1">
      <alignment horizontal="center" vertical="center"/>
    </xf>
    <xf numFmtId="44" fontId="68" fillId="0" borderId="28" xfId="4" applyNumberFormat="1" applyFont="1" applyFill="1" applyBorder="1" applyAlignment="1">
      <alignment horizontal="center" vertical="center"/>
    </xf>
    <xf numFmtId="44" fontId="68" fillId="0" borderId="26" xfId="4" applyNumberFormat="1" applyFont="1" applyFill="1" applyBorder="1" applyAlignment="1">
      <alignment horizontal="center" vertical="center"/>
    </xf>
    <xf numFmtId="0" fontId="69" fillId="0" borderId="0" xfId="8" applyFont="1" applyFill="1" applyBorder="1" applyAlignment="1">
      <alignment horizontal="center"/>
    </xf>
    <xf numFmtId="44" fontId="69" fillId="0" borderId="4" xfId="8" applyNumberFormat="1" applyFont="1" applyFill="1" applyBorder="1" applyAlignment="1">
      <alignment horizontal="center"/>
    </xf>
    <xf numFmtId="44" fontId="67" fillId="27" borderId="3" xfId="0" applyNumberFormat="1" applyFont="1" applyFill="1" applyBorder="1" applyAlignment="1">
      <alignment horizontal="center"/>
    </xf>
    <xf numFmtId="44" fontId="67" fillId="26" borderId="4" xfId="3" applyFont="1" applyFill="1" applyBorder="1" applyAlignment="1">
      <alignment horizontal="center" vertical="center"/>
    </xf>
    <xf numFmtId="0" fontId="71" fillId="0" borderId="22" xfId="8" applyFont="1" applyBorder="1" applyAlignment="1">
      <alignment horizontal="center"/>
    </xf>
    <xf numFmtId="44" fontId="70" fillId="0" borderId="24" xfId="8" applyNumberFormat="1" applyFont="1" applyBorder="1" applyAlignment="1">
      <alignment horizontal="center"/>
    </xf>
    <xf numFmtId="0" fontId="69" fillId="0" borderId="3" xfId="0" applyFont="1" applyBorder="1" applyAlignment="1">
      <alignment horizontal="center"/>
    </xf>
    <xf numFmtId="44" fontId="69" fillId="0" borderId="3" xfId="0" applyNumberFormat="1" applyFont="1" applyBorder="1" applyAlignment="1">
      <alignment horizontal="center"/>
    </xf>
    <xf numFmtId="0" fontId="69" fillId="0" borderId="13" xfId="8" applyFont="1" applyFill="1" applyBorder="1" applyAlignment="1">
      <alignment horizontal="center"/>
    </xf>
    <xf numFmtId="44" fontId="69" fillId="0" borderId="13" xfId="8" applyNumberFormat="1" applyFont="1" applyFill="1" applyBorder="1" applyAlignment="1">
      <alignment horizontal="center"/>
    </xf>
    <xf numFmtId="0" fontId="69" fillId="26" borderId="4" xfId="8" applyFont="1" applyFill="1" applyBorder="1" applyAlignment="1">
      <alignment horizontal="center"/>
    </xf>
    <xf numFmtId="44" fontId="69" fillId="0" borderId="0" xfId="8" applyNumberFormat="1" applyFont="1" applyFill="1" applyBorder="1" applyAlignment="1">
      <alignment horizontal="center"/>
    </xf>
    <xf numFmtId="0" fontId="68" fillId="4" borderId="30" xfId="4" applyFont="1" applyFill="1" applyBorder="1" applyAlignment="1">
      <alignment horizontal="center" vertical="center"/>
    </xf>
    <xf numFmtId="44" fontId="68" fillId="4" borderId="30" xfId="4" applyNumberFormat="1" applyFont="1" applyFill="1" applyBorder="1" applyAlignment="1">
      <alignment horizontal="center" vertical="center"/>
    </xf>
    <xf numFmtId="44" fontId="67" fillId="26" borderId="0" xfId="4" applyNumberFormat="1" applyFont="1" applyFill="1" applyAlignment="1">
      <alignment horizontal="center" vertical="center"/>
    </xf>
    <xf numFmtId="0" fontId="68" fillId="6" borderId="4" xfId="4" applyFont="1" applyBorder="1" applyAlignment="1">
      <alignment horizontal="center" vertical="center"/>
    </xf>
    <xf numFmtId="44" fontId="68" fillId="6" borderId="4" xfId="4" applyNumberFormat="1" applyFont="1" applyBorder="1" applyAlignment="1">
      <alignment horizontal="center" vertical="center"/>
    </xf>
    <xf numFmtId="44" fontId="75" fillId="26" borderId="4" xfId="8" applyNumberFormat="1" applyFont="1" applyFill="1" applyBorder="1" applyAlignment="1">
      <alignment horizontal="center"/>
    </xf>
    <xf numFmtId="165" fontId="67" fillId="0" borderId="31" xfId="4" applyNumberFormat="1" applyFont="1" applyFill="1" applyBorder="1" applyAlignment="1">
      <alignment horizontal="center" vertical="center"/>
    </xf>
    <xf numFmtId="44" fontId="67" fillId="0" borderId="30" xfId="4" applyNumberFormat="1" applyFont="1" applyFill="1" applyBorder="1" applyAlignment="1">
      <alignment horizontal="center" vertical="center"/>
    </xf>
    <xf numFmtId="44" fontId="67" fillId="0" borderId="32" xfId="4" applyNumberFormat="1" applyFont="1" applyFill="1" applyBorder="1" applyAlignment="1">
      <alignment horizontal="center" vertical="center"/>
    </xf>
    <xf numFmtId="44" fontId="69" fillId="27" borderId="0" xfId="4" applyNumberFormat="1" applyFont="1" applyFill="1" applyAlignment="1">
      <alignment horizontal="center" vertical="center"/>
    </xf>
    <xf numFmtId="0" fontId="67" fillId="0" borderId="13" xfId="0" applyFont="1" applyBorder="1" applyAlignment="1">
      <alignment horizontal="center"/>
    </xf>
    <xf numFmtId="44" fontId="67" fillId="0" borderId="13" xfId="0" applyNumberFormat="1" applyFont="1" applyBorder="1" applyAlignment="1">
      <alignment horizontal="center"/>
    </xf>
    <xf numFmtId="44" fontId="69" fillId="26" borderId="4" xfId="0" applyNumberFormat="1" applyFont="1" applyFill="1" applyBorder="1" applyAlignment="1">
      <alignment horizontal="center"/>
    </xf>
    <xf numFmtId="165" fontId="68" fillId="0" borderId="4" xfId="4" applyNumberFormat="1" applyFont="1" applyFill="1" applyBorder="1" applyAlignment="1">
      <alignment horizontal="center" vertical="center"/>
    </xf>
    <xf numFmtId="44" fontId="68" fillId="0" borderId="4" xfId="4" applyNumberFormat="1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/>
    </xf>
    <xf numFmtId="44" fontId="31" fillId="7" borderId="3" xfId="3" applyFont="1" applyFill="1" applyBorder="1" applyAlignment="1">
      <alignment horizontal="center"/>
    </xf>
    <xf numFmtId="44" fontId="31" fillId="7" borderId="13" xfId="3" applyFont="1" applyFill="1" applyBorder="1" applyAlignment="1">
      <alignment horizontal="center"/>
    </xf>
    <xf numFmtId="9" fontId="68" fillId="0" borderId="0" xfId="14" applyFont="1" applyAlignment="1">
      <alignment horizontal="center"/>
    </xf>
    <xf numFmtId="44" fontId="68" fillId="4" borderId="0" xfId="3" applyFont="1" applyFill="1"/>
    <xf numFmtId="44" fontId="67" fillId="4" borderId="0" xfId="3" applyFont="1" applyFill="1"/>
    <xf numFmtId="44" fontId="54" fillId="7" borderId="3" xfId="0" applyNumberFormat="1" applyFont="1" applyFill="1" applyBorder="1" applyAlignment="1">
      <alignment horizontal="center"/>
    </xf>
    <xf numFmtId="0" fontId="31" fillId="20" borderId="3" xfId="0" applyFont="1" applyFill="1" applyBorder="1" applyAlignment="1">
      <alignment horizontal="center"/>
    </xf>
    <xf numFmtId="44" fontId="31" fillId="20" borderId="3" xfId="3" applyFont="1" applyFill="1" applyBorder="1" applyAlignment="1">
      <alignment horizontal="center"/>
    </xf>
    <xf numFmtId="44" fontId="31" fillId="20" borderId="13" xfId="3" applyFont="1" applyFill="1" applyBorder="1" applyAlignment="1">
      <alignment horizontal="center"/>
    </xf>
    <xf numFmtId="0" fontId="29" fillId="7" borderId="3" xfId="11" applyFont="1" applyFill="1" applyBorder="1" applyAlignment="1">
      <alignment horizontal="center" vertical="center"/>
    </xf>
    <xf numFmtId="0" fontId="76" fillId="0" borderId="5" xfId="3" applyNumberFormat="1" applyFont="1" applyFill="1" applyBorder="1" applyAlignment="1">
      <alignment horizontal="center" vertical="center"/>
    </xf>
    <xf numFmtId="44" fontId="76" fillId="0" borderId="5" xfId="3" applyFont="1" applyFill="1" applyBorder="1"/>
    <xf numFmtId="0" fontId="31" fillId="7" borderId="0" xfId="0" applyFont="1" applyFill="1" applyAlignment="1">
      <alignment horizontal="center"/>
    </xf>
    <xf numFmtId="0" fontId="31" fillId="7" borderId="0" xfId="3" applyNumberFormat="1" applyFont="1" applyFill="1" applyAlignment="1">
      <alignment horizontal="center" vertical="center"/>
    </xf>
    <xf numFmtId="44" fontId="31" fillId="7" borderId="0" xfId="3" applyFont="1" applyFill="1"/>
    <xf numFmtId="44" fontId="61" fillId="7" borderId="4" xfId="3" applyFont="1" applyFill="1" applyBorder="1"/>
    <xf numFmtId="44" fontId="29" fillId="4" borderId="0" xfId="0" applyNumberFormat="1" applyFont="1" applyFill="1"/>
    <xf numFmtId="44" fontId="31" fillId="4" borderId="0" xfId="0" applyNumberFormat="1" applyFont="1" applyFill="1"/>
    <xf numFmtId="44" fontId="31" fillId="4" borderId="0" xfId="3" applyFont="1" applyFill="1"/>
    <xf numFmtId="0" fontId="29" fillId="7" borderId="3" xfId="0" applyFont="1" applyFill="1" applyBorder="1"/>
    <xf numFmtId="44" fontId="29" fillId="7" borderId="3" xfId="3" applyFont="1" applyFill="1" applyBorder="1" applyAlignment="1"/>
    <xf numFmtId="44" fontId="29" fillId="7" borderId="13" xfId="3" applyFont="1" applyFill="1" applyBorder="1" applyAlignment="1"/>
    <xf numFmtId="44" fontId="66" fillId="7" borderId="3" xfId="3" applyFont="1" applyFill="1" applyBorder="1" applyAlignment="1">
      <alignment horizontal="center"/>
    </xf>
    <xf numFmtId="0" fontId="41" fillId="7" borderId="3" xfId="0" applyFont="1" applyFill="1" applyBorder="1" applyAlignment="1">
      <alignment horizontal="center"/>
    </xf>
    <xf numFmtId="44" fontId="41" fillId="7" borderId="3" xfId="3" applyFont="1" applyFill="1" applyBorder="1" applyAlignment="1">
      <alignment horizontal="center"/>
    </xf>
    <xf numFmtId="0" fontId="31" fillId="7" borderId="3" xfId="3" applyNumberFormat="1" applyFont="1" applyFill="1" applyBorder="1" applyAlignment="1">
      <alignment horizontal="center"/>
    </xf>
    <xf numFmtId="0" fontId="31" fillId="7" borderId="0" xfId="0" applyFont="1" applyFill="1"/>
    <xf numFmtId="44" fontId="47" fillId="30" borderId="3" xfId="16" applyNumberFormat="1" applyFont="1" applyFill="1" applyBorder="1" applyAlignment="1">
      <alignment horizontal="center" vertical="center"/>
    </xf>
    <xf numFmtId="44" fontId="47" fillId="30" borderId="3" xfId="16" applyNumberFormat="1" applyFont="1" applyFill="1" applyBorder="1" applyAlignment="1">
      <alignment horizontal="center" vertical="center" wrapText="1"/>
    </xf>
    <xf numFmtId="44" fontId="47" fillId="30" borderId="20" xfId="16" applyNumberFormat="1" applyFont="1" applyFill="1" applyBorder="1" applyAlignment="1">
      <alignment horizontal="center" vertical="center" wrapText="1"/>
    </xf>
    <xf numFmtId="44" fontId="47" fillId="30" borderId="0" xfId="16" applyNumberFormat="1" applyFont="1" applyFill="1"/>
    <xf numFmtId="44" fontId="54" fillId="29" borderId="3" xfId="0" applyNumberFormat="1" applyFont="1" applyFill="1" applyBorder="1" applyAlignment="1">
      <alignment horizontal="center"/>
    </xf>
    <xf numFmtId="0" fontId="54" fillId="7" borderId="3" xfId="0" applyFont="1" applyFill="1" applyBorder="1" applyAlignment="1">
      <alignment horizontal="center"/>
    </xf>
    <xf numFmtId="44" fontId="46" fillId="7" borderId="3" xfId="3" applyFont="1" applyFill="1" applyBorder="1" applyAlignment="1">
      <alignment horizontal="center"/>
    </xf>
    <xf numFmtId="44" fontId="49" fillId="7" borderId="3" xfId="3" applyFont="1" applyFill="1" applyBorder="1" applyAlignment="1">
      <alignment horizontal="center"/>
    </xf>
    <xf numFmtId="44" fontId="54" fillId="7" borderId="3" xfId="3" applyFont="1" applyFill="1" applyBorder="1" applyAlignment="1">
      <alignment horizontal="center"/>
    </xf>
    <xf numFmtId="44" fontId="46" fillId="7" borderId="3" xfId="3" applyFont="1" applyFill="1" applyBorder="1"/>
    <xf numFmtId="44" fontId="46" fillId="7" borderId="20" xfId="3" applyFont="1" applyFill="1" applyBorder="1" applyAlignment="1">
      <alignment horizontal="center"/>
    </xf>
    <xf numFmtId="44" fontId="54" fillId="4" borderId="3" xfId="0" applyNumberFormat="1" applyFont="1" applyFill="1" applyBorder="1" applyAlignment="1">
      <alignment horizontal="center"/>
    </xf>
    <xf numFmtId="0" fontId="54" fillId="4" borderId="3" xfId="0" applyFont="1" applyFill="1" applyBorder="1" applyAlignment="1">
      <alignment horizontal="center"/>
    </xf>
    <xf numFmtId="0" fontId="18" fillId="20" borderId="3" xfId="0" applyFont="1" applyFill="1" applyBorder="1" applyAlignment="1">
      <alignment horizontal="center" vertical="center"/>
    </xf>
    <xf numFmtId="44" fontId="13" fillId="20" borderId="3" xfId="3" applyFont="1" applyFill="1" applyBorder="1"/>
    <xf numFmtId="44" fontId="13" fillId="20" borderId="5" xfId="3" applyFont="1" applyFill="1" applyBorder="1"/>
    <xf numFmtId="44" fontId="6" fillId="0" borderId="1" xfId="3" applyFont="1" applyFill="1" applyBorder="1" applyAlignment="1">
      <alignment horizontal="center" vertical="center"/>
    </xf>
    <xf numFmtId="44" fontId="78" fillId="0" borderId="3" xfId="9" applyNumberFormat="1" applyFont="1" applyFill="1" applyBorder="1" applyAlignment="1">
      <alignment horizontal="center"/>
    </xf>
    <xf numFmtId="44" fontId="78" fillId="0" borderId="3" xfId="9" applyNumberFormat="1" applyFont="1" applyFill="1" applyBorder="1" applyAlignment="1">
      <alignment vertical="center"/>
    </xf>
    <xf numFmtId="44" fontId="78" fillId="7" borderId="3" xfId="9" applyNumberFormat="1" applyFont="1" applyFill="1" applyBorder="1" applyAlignment="1">
      <alignment horizontal="center"/>
    </xf>
    <xf numFmtId="44" fontId="79" fillId="0" borderId="3" xfId="3" applyFont="1" applyFill="1" applyBorder="1"/>
    <xf numFmtId="0" fontId="47" fillId="0" borderId="3" xfId="16" applyFont="1" applyFill="1" applyBorder="1" applyAlignment="1">
      <alignment horizontal="center" vertical="center" wrapText="1"/>
    </xf>
    <xf numFmtId="44" fontId="77" fillId="0" borderId="3" xfId="16" applyNumberFormat="1" applyFont="1" applyFill="1" applyBorder="1" applyAlignment="1">
      <alignment horizontal="center" vertical="center"/>
    </xf>
    <xf numFmtId="0" fontId="46" fillId="0" borderId="3" xfId="0" applyFont="1" applyBorder="1" applyAlignment="1">
      <alignment horizontal="center"/>
    </xf>
    <xf numFmtId="44" fontId="46" fillId="0" borderId="3" xfId="0" applyNumberFormat="1" applyFont="1" applyBorder="1" applyAlignment="1">
      <alignment horizontal="center"/>
    </xf>
    <xf numFmtId="44" fontId="35" fillId="0" borderId="3" xfId="0" applyNumberFormat="1" applyFont="1" applyBorder="1" applyAlignment="1">
      <alignment horizontal="center" vertical="center"/>
    </xf>
    <xf numFmtId="0" fontId="54" fillId="0" borderId="3" xfId="0" applyFont="1" applyBorder="1" applyAlignment="1">
      <alignment horizontal="center"/>
    </xf>
    <xf numFmtId="0" fontId="46" fillId="0" borderId="0" xfId="0" applyFont="1" applyAlignment="1">
      <alignment horizontal="center"/>
    </xf>
    <xf numFmtId="44" fontId="57" fillId="0" borderId="0" xfId="0" applyNumberFormat="1" applyFont="1" applyAlignment="1">
      <alignment horizontal="center"/>
    </xf>
    <xf numFmtId="44" fontId="77" fillId="0" borderId="0" xfId="3" applyFont="1" applyFill="1" applyAlignment="1">
      <alignment horizontal="center"/>
    </xf>
    <xf numFmtId="44" fontId="22" fillId="4" borderId="0" xfId="0" applyNumberFormat="1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44" fontId="22" fillId="4" borderId="0" xfId="0" applyNumberFormat="1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60" fillId="4" borderId="0" xfId="10" applyFont="1" applyFill="1" applyAlignment="1">
      <alignment horizontal="center"/>
    </xf>
    <xf numFmtId="0" fontId="60" fillId="4" borderId="14" xfId="10" applyFont="1" applyFill="1" applyBorder="1" applyAlignment="1">
      <alignment horizontal="center"/>
    </xf>
    <xf numFmtId="0" fontId="60" fillId="0" borderId="14" xfId="10" applyFont="1" applyFill="1" applyBorder="1" applyAlignment="1">
      <alignment horizontal="center"/>
    </xf>
    <xf numFmtId="0" fontId="61" fillId="0" borderId="20" xfId="0" applyFont="1" applyBorder="1" applyAlignment="1">
      <alignment horizontal="center"/>
    </xf>
    <xf numFmtId="0" fontId="61" fillId="0" borderId="9" xfId="0" applyFont="1" applyBorder="1" applyAlignment="1">
      <alignment horizontal="center"/>
    </xf>
    <xf numFmtId="0" fontId="61" fillId="0" borderId="22" xfId="0" applyFont="1" applyBorder="1" applyAlignment="1">
      <alignment horizontal="center"/>
    </xf>
    <xf numFmtId="0" fontId="61" fillId="0" borderId="14" xfId="0" applyFont="1" applyBorder="1" applyAlignment="1">
      <alignment horizontal="center"/>
    </xf>
    <xf numFmtId="0" fontId="61" fillId="0" borderId="19" xfId="0" applyFont="1" applyBorder="1" applyAlignment="1">
      <alignment horizontal="center"/>
    </xf>
    <xf numFmtId="0" fontId="6" fillId="4" borderId="0" xfId="10" applyFont="1" applyFill="1" applyAlignment="1">
      <alignment horizontal="center"/>
    </xf>
    <xf numFmtId="0" fontId="60" fillId="0" borderId="0" xfId="10" applyFont="1" applyFill="1" applyAlignment="1">
      <alignment horizontal="center"/>
    </xf>
    <xf numFmtId="0" fontId="60" fillId="4" borderId="0" xfId="10" applyFont="1" applyFill="1" applyBorder="1" applyAlignment="1">
      <alignment horizontal="center"/>
    </xf>
    <xf numFmtId="0" fontId="64" fillId="4" borderId="0" xfId="10" applyFont="1" applyFill="1" applyAlignment="1">
      <alignment horizontal="center"/>
    </xf>
    <xf numFmtId="0" fontId="29" fillId="4" borderId="2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68" fillId="0" borderId="25" xfId="4" applyFont="1" applyFill="1" applyBorder="1" applyAlignment="1">
      <alignment horizontal="center" vertical="center"/>
    </xf>
    <xf numFmtId="0" fontId="68" fillId="0" borderId="28" xfId="4" applyFont="1" applyFill="1" applyBorder="1" applyAlignment="1">
      <alignment horizontal="center" vertical="center"/>
    </xf>
    <xf numFmtId="0" fontId="68" fillId="0" borderId="26" xfId="4" applyFont="1" applyFill="1" applyBorder="1" applyAlignment="1">
      <alignment horizontal="center" vertical="center"/>
    </xf>
    <xf numFmtId="0" fontId="72" fillId="0" borderId="31" xfId="4" applyFont="1" applyFill="1" applyBorder="1" applyAlignment="1">
      <alignment horizontal="center" vertical="center"/>
    </xf>
    <xf numFmtId="0" fontId="72" fillId="0" borderId="30" xfId="4" applyFont="1" applyFill="1" applyBorder="1" applyAlignment="1">
      <alignment horizontal="center" vertical="center"/>
    </xf>
    <xf numFmtId="0" fontId="72" fillId="0" borderId="32" xfId="4" applyFont="1" applyFill="1" applyBorder="1" applyAlignment="1">
      <alignment horizontal="center" vertical="center"/>
    </xf>
    <xf numFmtId="0" fontId="69" fillId="26" borderId="25" xfId="4" applyFont="1" applyFill="1" applyBorder="1" applyAlignment="1">
      <alignment horizontal="center" vertical="center"/>
    </xf>
    <xf numFmtId="0" fontId="69" fillId="26" borderId="28" xfId="4" applyFont="1" applyFill="1" applyBorder="1" applyAlignment="1">
      <alignment horizontal="center" vertical="center"/>
    </xf>
    <xf numFmtId="0" fontId="69" fillId="26" borderId="26" xfId="4" applyFont="1" applyFill="1" applyBorder="1" applyAlignment="1">
      <alignment horizontal="center" vertical="center"/>
    </xf>
    <xf numFmtId="0" fontId="69" fillId="27" borderId="25" xfId="4" applyFont="1" applyFill="1" applyBorder="1" applyAlignment="1">
      <alignment horizontal="center" vertical="center"/>
    </xf>
    <xf numFmtId="0" fontId="69" fillId="27" borderId="28" xfId="4" applyFont="1" applyFill="1" applyBorder="1" applyAlignment="1">
      <alignment horizontal="center" vertical="center"/>
    </xf>
    <xf numFmtId="0" fontId="69" fillId="27" borderId="26" xfId="4" applyFont="1" applyFill="1" applyBorder="1" applyAlignment="1">
      <alignment horizontal="center" vertical="center"/>
    </xf>
    <xf numFmtId="0" fontId="67" fillId="0" borderId="31" xfId="4" applyFont="1" applyFill="1" applyBorder="1" applyAlignment="1">
      <alignment horizontal="center" vertical="center"/>
    </xf>
    <xf numFmtId="0" fontId="67" fillId="0" borderId="30" xfId="4" applyFont="1" applyFill="1" applyBorder="1" applyAlignment="1">
      <alignment horizontal="center" vertical="center"/>
    </xf>
    <xf numFmtId="0" fontId="67" fillId="0" borderId="32" xfId="4" applyFont="1" applyFill="1" applyBorder="1" applyAlignment="1">
      <alignment horizontal="center" vertical="center"/>
    </xf>
    <xf numFmtId="0" fontId="67" fillId="27" borderId="25" xfId="0" applyFont="1" applyFill="1" applyBorder="1" applyAlignment="1">
      <alignment horizontal="center"/>
    </xf>
    <xf numFmtId="0" fontId="67" fillId="27" borderId="28" xfId="0" applyFont="1" applyFill="1" applyBorder="1" applyAlignment="1">
      <alignment horizontal="center"/>
    </xf>
    <xf numFmtId="0" fontId="67" fillId="27" borderId="26" xfId="0" applyFont="1" applyFill="1" applyBorder="1" applyAlignment="1">
      <alignment horizontal="center"/>
    </xf>
    <xf numFmtId="0" fontId="70" fillId="4" borderId="27" xfId="5" applyFont="1" applyFill="1" applyAlignment="1">
      <alignment horizontal="center" vertical="center"/>
    </xf>
    <xf numFmtId="0" fontId="67" fillId="27" borderId="20" xfId="4" applyFont="1" applyFill="1" applyBorder="1" applyAlignment="1">
      <alignment horizontal="center" vertical="center"/>
    </xf>
    <xf numFmtId="0" fontId="67" fillId="27" borderId="9" xfId="4" applyFont="1" applyFill="1" applyBorder="1" applyAlignment="1">
      <alignment horizontal="center" vertical="center"/>
    </xf>
    <xf numFmtId="0" fontId="67" fillId="27" borderId="10" xfId="4" applyFont="1" applyFill="1" applyBorder="1" applyAlignment="1">
      <alignment horizontal="center" vertical="center"/>
    </xf>
    <xf numFmtId="0" fontId="67" fillId="4" borderId="20" xfId="4" applyFont="1" applyFill="1" applyBorder="1" applyAlignment="1">
      <alignment horizontal="center" vertical="center"/>
    </xf>
    <xf numFmtId="0" fontId="67" fillId="4" borderId="9" xfId="4" applyFont="1" applyFill="1" applyBorder="1" applyAlignment="1">
      <alignment horizontal="center" vertical="center"/>
    </xf>
    <xf numFmtId="0" fontId="67" fillId="4" borderId="10" xfId="4" applyFont="1" applyFill="1" applyBorder="1" applyAlignment="1">
      <alignment horizontal="center" vertical="center"/>
    </xf>
    <xf numFmtId="0" fontId="68" fillId="0" borderId="25" xfId="0" applyFont="1" applyBorder="1" applyAlignment="1">
      <alignment horizontal="center"/>
    </xf>
    <xf numFmtId="0" fontId="68" fillId="0" borderId="28" xfId="0" applyFont="1" applyBorder="1" applyAlignment="1">
      <alignment horizontal="center"/>
    </xf>
    <xf numFmtId="0" fontId="68" fillId="0" borderId="26" xfId="0" applyFont="1" applyBorder="1" applyAlignment="1">
      <alignment horizontal="center"/>
    </xf>
    <xf numFmtId="0" fontId="72" fillId="4" borderId="20" xfId="4" applyFont="1" applyFill="1" applyBorder="1" applyAlignment="1">
      <alignment horizontal="center" vertical="center"/>
    </xf>
    <xf numFmtId="0" fontId="72" fillId="4" borderId="9" xfId="4" applyFont="1" applyFill="1" applyBorder="1" applyAlignment="1">
      <alignment horizontal="center" vertical="center"/>
    </xf>
    <xf numFmtId="0" fontId="72" fillId="4" borderId="10" xfId="4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7" fillId="0" borderId="29" xfId="0" applyFont="1" applyBorder="1" applyAlignment="1">
      <alignment horizontal="center"/>
    </xf>
    <xf numFmtId="0" fontId="67" fillId="27" borderId="25" xfId="4" applyFont="1" applyFill="1" applyBorder="1" applyAlignment="1">
      <alignment horizontal="center" vertical="center"/>
    </xf>
    <xf numFmtId="0" fontId="67" fillId="27" borderId="28" xfId="4" applyFont="1" applyFill="1" applyBorder="1" applyAlignment="1">
      <alignment horizontal="center" vertical="center"/>
    </xf>
    <xf numFmtId="0" fontId="67" fillId="27" borderId="26" xfId="4" applyFont="1" applyFill="1" applyBorder="1" applyAlignment="1">
      <alignment horizontal="center" vertical="center"/>
    </xf>
    <xf numFmtId="0" fontId="67" fillId="0" borderId="25" xfId="0" applyFont="1" applyBorder="1" applyAlignment="1">
      <alignment horizontal="center"/>
    </xf>
    <xf numFmtId="0" fontId="67" fillId="0" borderId="28" xfId="0" applyFont="1" applyBorder="1" applyAlignment="1">
      <alignment horizontal="center"/>
    </xf>
    <xf numFmtId="0" fontId="67" fillId="0" borderId="26" xfId="0" applyFont="1" applyBorder="1" applyAlignment="1">
      <alignment horizontal="center"/>
    </xf>
    <xf numFmtId="0" fontId="67" fillId="27" borderId="30" xfId="4" applyFont="1" applyFill="1" applyBorder="1" applyAlignment="1">
      <alignment horizontal="center" vertical="center"/>
    </xf>
    <xf numFmtId="0" fontId="46" fillId="5" borderId="14" xfId="0" applyFont="1" applyFill="1" applyBorder="1" applyAlignment="1">
      <alignment horizontal="center" vertical="center"/>
    </xf>
    <xf numFmtId="0" fontId="46" fillId="5" borderId="14" xfId="0" applyFont="1" applyFill="1" applyBorder="1" applyAlignment="1">
      <alignment horizontal="center"/>
    </xf>
    <xf numFmtId="44" fontId="13" fillId="0" borderId="44" xfId="3" applyFont="1" applyBorder="1" applyAlignment="1">
      <alignment horizontal="center"/>
    </xf>
    <xf numFmtId="44" fontId="13" fillId="0" borderId="0" xfId="3" applyFont="1" applyAlignment="1">
      <alignment horizontal="center"/>
    </xf>
  </cellXfs>
  <cellStyles count="20">
    <cellStyle name="%40 - Vurgu1" xfId="4" builtinId="31"/>
    <cellStyle name="%40 - Vurgu3 3" xfId="2" xr:uid="{00000000-0005-0000-0000-000002000000}"/>
    <cellStyle name="%60 - Vurgu3" xfId="16" builtinId="40"/>
    <cellStyle name="Ana Başlık" xfId="8" builtinId="15"/>
    <cellStyle name="Başlık 1" xfId="7" builtinId="16"/>
    <cellStyle name="Başlık 2" xfId="5" builtinId="17"/>
    <cellStyle name="Başlık 3" xfId="15" builtinId="18"/>
    <cellStyle name="Giriş" xfId="13" builtinId="20"/>
    <cellStyle name="İşaretli Hücre" xfId="6" builtinId="23"/>
    <cellStyle name="Normal" xfId="0" builtinId="0"/>
    <cellStyle name="Not" xfId="12" builtinId="10"/>
    <cellStyle name="ParaBirimi" xfId="3" builtinId="4"/>
    <cellStyle name="ParaBirimi 2" xfId="17" xr:uid="{F476C8E4-3C0B-44F3-8CE5-24FA6DBD76D4}"/>
    <cellStyle name="ParaBirimi 3" xfId="18" xr:uid="{3618C7D0-2D74-4DC4-9155-BD132952D743}"/>
    <cellStyle name="Virgül 2" xfId="19" xr:uid="{9CA056B5-1417-4D8B-86B5-4307BDC8354B}"/>
    <cellStyle name="Vurgu1" xfId="10" builtinId="29"/>
    <cellStyle name="Vurgu2" xfId="1" builtinId="33"/>
    <cellStyle name="Vurgu5" xfId="11" builtinId="45"/>
    <cellStyle name="Vurgu6" xfId="9" builtinId="49"/>
    <cellStyle name="Yüzde" xfId="14" builtinId="5"/>
  </cellStyles>
  <dxfs count="1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</dxf>
    <dxf>
      <border outline="0"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family val="1"/>
        <charset val="16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</dxf>
    <dxf>
      <border outline="0"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family val="1"/>
        <charset val="162"/>
        <scheme val="none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</dxf>
    <dxf>
      <border outline="0"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family val="1"/>
        <charset val="16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</dxf>
    <dxf>
      <border outline="0"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family val="1"/>
        <charset val="162"/>
        <scheme val="none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</dxf>
    <dxf>
      <border outline="0"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family val="1"/>
        <charset val="16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</dxf>
    <dxf>
      <border outline="0">
        <bottom style="medium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Cambria"/>
        <family val="1"/>
        <charset val="16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</dxf>
    <dxf>
      <border outline="0">
        <bottom style="medium">
          <color theme="4" tint="0.39997558519241921"/>
        </bottom>
      </border>
    </dxf>
    <dxf>
      <fill>
        <patternFill patternType="solid"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numFmt numFmtId="34" formatCode="_-&quot;₺&quot;* #,##0.00_-;\-&quot;₺&quot;* #,##0.00_-;_-&quot;₺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</dxf>
    <dxf>
      <border outline="0">
        <bottom style="medium">
          <color theme="4" tint="0.39997558519241921"/>
        </bottom>
      </border>
    </dxf>
    <dxf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charset val="162"/>
        <scheme val="none"/>
      </font>
    </dxf>
    <dxf>
      <border outline="0">
        <bottom style="medium">
          <color theme="4" tint="0.39997558519241921"/>
        </bottom>
      </border>
    </dxf>
    <dxf>
      <fill>
        <patternFill patternType="solid"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border outline="0">
        <bottom style="medium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fill>
        <patternFill patternType="solid">
          <fgColor indexed="64"/>
          <bgColor theme="5" tint="0.39997558519241921"/>
        </patternFill>
      </fill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border outline="0">
        <bottom style="medium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fill>
        <patternFill patternType="solid">
          <fgColor indexed="64"/>
          <bgColor theme="6" tint="0.39997558519241921"/>
        </patternFill>
      </fill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charset val="162"/>
        <scheme val="none"/>
      </font>
    </dxf>
    <dxf>
      <border outline="0">
        <bottom style="medium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2"/>
        <name val="Cambria"/>
        <family val="1"/>
        <charset val="162"/>
        <scheme val="none"/>
      </font>
      <fill>
        <patternFill patternType="solid">
          <fgColor indexed="64"/>
          <bgColor theme="7" tint="0.39997558519241921"/>
        </patternFill>
      </fill>
      <alignment vertical="center" textRotation="0" indent="0" justifyLastLine="0" shrinkToFit="0" readingOrder="0"/>
    </dxf>
  </dxfs>
  <tableStyles count="1" defaultTableStyle="Tablo Stili 1" defaultPivotStyle="PivotStyleMedium9">
    <tableStyle name="Tablo Stili 1" pivot="0" count="0" xr9:uid="{00000000-0011-0000-FFFF-FFFF00000000}"/>
  </tableStyles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2025%20asil%20turrr\2025-AS&#304;L%20TUR\M&#304;LL&#304;%20E&#286;&#304;T&#304;M%202024-2025\2024-2025%20%20may&#305;s-%20Kopya%20-%20Kopya.xlsx" TargetMode="External"/><Relationship Id="rId1" Type="http://schemas.openxmlformats.org/officeDocument/2006/relationships/externalLinkPath" Target="file:///E:\2025%20asil%20turrr\2025-AS&#304;L%20TUR\M&#304;LL&#304;%20E&#286;&#304;T&#304;M%202024-2025\2024-2025%20%20may&#305;s-%20Kopya%20-%20Kopy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105\Ortak%20Dosyalar\&#350;ULE%20ELBEK\MAZOT%20ALI&#350;-VER&#304;&#350;\2025%20A_4%20YAKIT%20VE%20KM%20&#199;&#304;ZELGES&#304;\(06)%20MAZOT%20&#199;&#304;ZELGES&#304;%20HAZ&#304;RAN.xlsx" TargetMode="External"/><Relationship Id="rId1" Type="http://schemas.openxmlformats.org/officeDocument/2006/relationships/externalLinkPath" Target="file:///\\192.168.1.105\Ortak%20Dosyalar\&#350;ULE%20ELBEK\MAZOT%20ALI&#350;-VER&#304;&#350;\2025%20A_4%20YAKIT%20VE%20KM%20&#199;&#304;ZELGES&#304;\(06)%20MAZOT%20&#199;&#304;ZELGES&#304;%20HAZ&#304;RA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2025%20asil%20turrr\2025-AS&#304;L%20TUR\KASA\07-TEMMUZ%20KASA%20HAREKETLER&#304;.xlsx" TargetMode="External"/><Relationship Id="rId1" Type="http://schemas.openxmlformats.org/officeDocument/2006/relationships/externalLinkPath" Target="file:///E:\2025%20asil%20turrr\2025-AS&#304;L%20TUR\KASA\07-TEMMUZ%20KASA%20HAREKETLER&#304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2025%20asil%20turrr\2025-AS&#304;L%20TUR\F&#304;RMA%20HAKED&#304;&#350;\2025%20AS&#304;LTUR%20F&#304;RMA%20HAKED&#304;&#350;LER.xlsx" TargetMode="External"/><Relationship Id="rId1" Type="http://schemas.openxmlformats.org/officeDocument/2006/relationships/externalLinkPath" Target="file:///E:\2025%20asil%20turrr\2025-AS&#304;L%20TUR\F&#304;RMA%20HAKED&#304;&#350;\2025%20AS&#304;LTUR%20F&#304;RMA%20HAKED&#304;&#350;L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RDİVAN"/>
      <sheetName val="ADP MEB"/>
      <sheetName val="SAKARYA BÜYÜKŞEHİR"/>
      <sheetName val="MAYIS"/>
      <sheetName val="TOPLAM ÖDENECEK"/>
    </sheetNames>
    <sheetDataSet>
      <sheetData sheetId="0" refreshError="1">
        <row r="29">
          <cell r="H29">
            <v>16250</v>
          </cell>
        </row>
        <row r="30">
          <cell r="H30">
            <v>18525</v>
          </cell>
        </row>
        <row r="34">
          <cell r="H34">
            <v>17420</v>
          </cell>
        </row>
        <row r="35">
          <cell r="H35">
            <v>18525</v>
          </cell>
        </row>
        <row r="36">
          <cell r="H36">
            <v>15015</v>
          </cell>
        </row>
        <row r="37">
          <cell r="H37">
            <v>16445</v>
          </cell>
        </row>
        <row r="38">
          <cell r="H38">
            <v>19305</v>
          </cell>
        </row>
        <row r="40">
          <cell r="H40">
            <v>16640</v>
          </cell>
        </row>
      </sheetData>
      <sheetData sheetId="1" refreshError="1">
        <row r="25">
          <cell r="G25">
            <v>20832.5</v>
          </cell>
        </row>
      </sheetData>
      <sheetData sheetId="2" refreshError="1">
        <row r="10">
          <cell r="G10">
            <v>40000</v>
          </cell>
        </row>
        <row r="11">
          <cell r="G11">
            <v>28000</v>
          </cell>
        </row>
        <row r="12">
          <cell r="G12">
            <v>76500</v>
          </cell>
        </row>
        <row r="13">
          <cell r="G13">
            <v>32500</v>
          </cell>
        </row>
      </sheetData>
      <sheetData sheetId="3" refreshError="1"/>
      <sheetData sheetId="4">
        <row r="22">
          <cell r="B22">
            <v>31200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ZİRAN"/>
      <sheetName val="SAYFA"/>
      <sheetName val="DIŞ ALIM"/>
      <sheetName val="H.E."/>
      <sheetName val="560"/>
      <sheetName val="561"/>
      <sheetName val="562"/>
      <sheetName val="563"/>
      <sheetName val="564"/>
      <sheetName val="565"/>
      <sheetName val="566"/>
      <sheetName val="567"/>
      <sheetName val="568"/>
      <sheetName val="569"/>
      <sheetName val="570"/>
      <sheetName val="571"/>
      <sheetName val="572"/>
      <sheetName val="573"/>
      <sheetName val="855"/>
      <sheetName val="856"/>
      <sheetName val="857"/>
      <sheetName val="858"/>
      <sheetName val="859"/>
      <sheetName val="860"/>
      <sheetName val="1194"/>
      <sheetName val="2933"/>
      <sheetName val="0257"/>
      <sheetName val="2295"/>
      <sheetName val="3116"/>
      <sheetName val="1773"/>
      <sheetName val="54ALJ407"/>
      <sheetName val="54ALM964"/>
      <sheetName val="54ADP403"/>
      <sheetName val="54ADP404"/>
      <sheetName val="54YH888"/>
      <sheetName val="54 ADA 888"/>
      <sheetName val="54 ABZ 054"/>
      <sheetName val="54 EE 949"/>
    </sheetNames>
    <sheetDataSet>
      <sheetData sheetId="0" refreshError="1"/>
      <sheetData sheetId="1" refreshError="1"/>
      <sheetData sheetId="2">
        <row r="65">
          <cell r="H65">
            <v>65341.251950999998</v>
          </cell>
        </row>
        <row r="72">
          <cell r="H72">
            <v>14788.55775</v>
          </cell>
        </row>
        <row r="74">
          <cell r="H74">
            <v>2604.2232000000004</v>
          </cell>
        </row>
        <row r="77">
          <cell r="H77">
            <v>2095.1162760000002</v>
          </cell>
        </row>
        <row r="79">
          <cell r="H79">
            <v>5416.1704559999998</v>
          </cell>
        </row>
        <row r="81">
          <cell r="H81">
            <v>1552.7257679999998</v>
          </cell>
        </row>
        <row r="84">
          <cell r="H84">
            <v>3749.7570240000005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SİF"/>
      <sheetName val="PASİFFFF"/>
      <sheetName val="Sayfa1"/>
      <sheetName val="MEB"/>
      <sheetName val="KİRA"/>
      <sheetName val="01 TEMMUZ"/>
      <sheetName val="01 TEMMUZ DEVAM"/>
      <sheetName val="2-3-8"/>
      <sheetName val="16-17"/>
      <sheetName val="Sayfa8"/>
      <sheetName val="Sayfa9"/>
      <sheetName val="Sayfa2"/>
      <sheetName val="30"/>
      <sheetName val="toplamlar"/>
      <sheetName val="YENİ AY"/>
    </sheetNames>
    <sheetDataSet>
      <sheetData sheetId="0">
        <row r="88">
          <cell r="F88">
            <v>4895167.18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E4">
            <v>11538.95</v>
          </cell>
        </row>
      </sheetData>
      <sheetData sheetId="7">
        <row r="21">
          <cell r="E21">
            <v>100000</v>
          </cell>
        </row>
        <row r="22">
          <cell r="E22">
            <v>150000</v>
          </cell>
        </row>
        <row r="23">
          <cell r="E23">
            <v>150000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1">
          <cell r="E11">
            <v>16164.143999999998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ALIK 2024"/>
      <sheetName val="OCAK"/>
      <sheetName val="ŞUBAT"/>
      <sheetName val="MART"/>
      <sheetName val="NİSAN "/>
      <sheetName val="MAYIS"/>
      <sheetName val="HAZİRAN"/>
      <sheetName val="TEMMUZ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C4">
            <v>1429733.33</v>
          </cell>
          <cell r="D4">
            <v>285946.66600000003</v>
          </cell>
        </row>
        <row r="5">
          <cell r="C5">
            <v>432000</v>
          </cell>
          <cell r="D5">
            <v>43200</v>
          </cell>
        </row>
        <row r="10">
          <cell r="C10">
            <v>1398910</v>
          </cell>
          <cell r="D10">
            <v>279782</v>
          </cell>
        </row>
        <row r="11">
          <cell r="C11">
            <v>205800</v>
          </cell>
          <cell r="D11">
            <v>20580</v>
          </cell>
        </row>
        <row r="21">
          <cell r="C21">
            <v>523908.28</v>
          </cell>
          <cell r="D21">
            <v>104781.65600000002</v>
          </cell>
        </row>
        <row r="22">
          <cell r="C22">
            <v>184907.5</v>
          </cell>
          <cell r="D22">
            <v>18490.75</v>
          </cell>
        </row>
        <row r="25">
          <cell r="C25">
            <v>805790</v>
          </cell>
          <cell r="D25">
            <v>161158</v>
          </cell>
        </row>
        <row r="26">
          <cell r="C26">
            <v>251355</v>
          </cell>
          <cell r="D26">
            <v>25135.5</v>
          </cell>
        </row>
        <row r="28">
          <cell r="C28">
            <v>565075</v>
          </cell>
          <cell r="D28">
            <v>113015</v>
          </cell>
        </row>
        <row r="29">
          <cell r="C29">
            <v>317375</v>
          </cell>
          <cell r="D29">
            <v>31737.5</v>
          </cell>
        </row>
        <row r="32">
          <cell r="C32">
            <v>571700</v>
          </cell>
        </row>
        <row r="34">
          <cell r="C34">
            <v>118750</v>
          </cell>
        </row>
        <row r="36">
          <cell r="C36">
            <v>414606.52</v>
          </cell>
          <cell r="D36">
            <v>82921.304000000004</v>
          </cell>
        </row>
        <row r="37">
          <cell r="C37">
            <v>644943.48</v>
          </cell>
          <cell r="D37">
            <v>128988.696</v>
          </cell>
        </row>
        <row r="38">
          <cell r="C38">
            <v>2127415</v>
          </cell>
          <cell r="D38">
            <v>396074</v>
          </cell>
        </row>
        <row r="39">
          <cell r="C39">
            <v>101700</v>
          </cell>
          <cell r="D39">
            <v>20340</v>
          </cell>
        </row>
        <row r="41">
          <cell r="C41">
            <v>51145</v>
          </cell>
          <cell r="D41">
            <v>10229</v>
          </cell>
        </row>
        <row r="42">
          <cell r="C42">
            <v>76640</v>
          </cell>
          <cell r="D42">
            <v>15328</v>
          </cell>
        </row>
        <row r="43">
          <cell r="C43">
            <v>504595</v>
          </cell>
          <cell r="D43">
            <v>100919</v>
          </cell>
        </row>
        <row r="44">
          <cell r="C44">
            <v>159625</v>
          </cell>
          <cell r="D44">
            <v>15962.5</v>
          </cell>
        </row>
        <row r="46">
          <cell r="C46">
            <v>78995</v>
          </cell>
        </row>
      </sheetData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E9C46F-46D3-414E-9140-0EF4F2CD2B67}" name="Tablo5" displayName="Tablo5" ref="A1:L58" totalsRowShown="0" headerRowDxfId="179" dataDxfId="177" headerRowBorderDxfId="178">
  <autoFilter ref="A1:L58" xr:uid="{E5E9C46F-46D3-414E-9140-0EF4F2CD2B67}">
    <filterColumn colId="2">
      <filters>
        <filter val="UFUK KÖYMEN"/>
      </filters>
    </filterColumn>
  </autoFilter>
  <tableColumns count="12">
    <tableColumn id="1" xr3:uid="{9C7DA801-A6A3-48BC-9845-189E403CB0B8}" name="FİRMA" dataDxfId="176"/>
    <tableColumn id="12" xr3:uid="{FA4C66D3-E2CD-41A8-BB1D-16C6FDB9274C}" name="GÜZERGAH" dataDxfId="175"/>
    <tableColumn id="2" xr3:uid="{2F7F900E-33CA-4891-A2C6-59877C65B713}" name="ŞAHIS" dataDxfId="174"/>
    <tableColumn id="3" xr3:uid="{0AF1767D-4263-4DB8-9389-FAAEFDACB682}" name="PLAKA" dataDxfId="173"/>
    <tableColumn id="4" xr3:uid="{65E33951-060C-4670-899D-F5EFC9E42C9C}" name="HAREKET" dataDxfId="172"/>
    <tableColumn id="5" xr3:uid="{C7A99D77-6B2D-4B9B-8EE5-9A7995F17793}" name="GÜN_x000a_TEK" dataDxfId="171"/>
    <tableColumn id="6" xr3:uid="{E491476C-0A33-4BE3-AF73-AC8E5E9D41F4}" name="TUTAR" dataDxfId="170" dataCellStyle="ParaBirimi"/>
    <tableColumn id="7" xr3:uid="{1B80218E-898A-416C-A77A-A98D77EF5BC3}" name="TOPLAM" dataDxfId="169" dataCellStyle="ParaBirimi">
      <calculatedColumnFormula>Tablo5[[#This Row],[GÜN
TEK]]*Tablo5[[#This Row],[TUTAR]]</calculatedColumnFormula>
    </tableColumn>
    <tableColumn id="8" xr3:uid="{A25A2CD1-FBF7-456F-8400-BA8E85068C33}" name="0,20%" dataDxfId="168" dataCellStyle="ParaBirimi">
      <calculatedColumnFormula>Tablo5[[#This Row],[TOPLAM]]*0.2</calculatedColumnFormula>
    </tableColumn>
    <tableColumn id="9" xr3:uid="{0AFCB066-EDB9-4F26-9C6D-B5A77CF48BD4}" name="ARA TOP" dataDxfId="167" dataCellStyle="ParaBirimi">
      <calculatedColumnFormula>SUM(Tablo5[[#This Row],[TOPLAM]:[0,20%]])</calculatedColumnFormula>
    </tableColumn>
    <tableColumn id="10" xr3:uid="{40384FFA-23B5-4449-9218-CE770B57D3FB}" name="0,10%" dataDxfId="166" dataCellStyle="ParaBirimi">
      <calculatedColumnFormula>Tablo5[[#This Row],[TOPLAM]]*0.1</calculatedColumnFormula>
    </tableColumn>
    <tableColumn id="11" xr3:uid="{6E4B8034-3E39-4598-8DFA-9EB7E33DDF72}" name="G TOPLAM" dataDxfId="165" dataCellStyle="ParaBirimi">
      <calculatedColumnFormula>Tablo5[[#This Row],[TOPLAM]]+Tablo5[[#This Row],[0,20%]]-Tablo5[[#This Row],[0,10%]]</calculatedColumnFormula>
    </tableColumn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6A40F2-5E9E-44C3-94AD-2778681183D2}" name="Tablo8" displayName="Tablo8" ref="A60:L66" totalsRowShown="0" headerRowDxfId="164" dataDxfId="162" headerRowBorderDxfId="163">
  <autoFilter ref="A60:L66" xr:uid="{E86A40F2-5E9E-44C3-94AD-2778681183D2}"/>
  <tableColumns count="12">
    <tableColumn id="1" xr3:uid="{4C0B2A08-A872-429C-BC5B-A524A968A9CB}" name="FİRMA" dataDxfId="161"/>
    <tableColumn id="2" xr3:uid="{66F2422A-573D-4F44-AF80-6602CCDA67FE}" name="GÜZERGAH" dataDxfId="160"/>
    <tableColumn id="3" xr3:uid="{907E165C-6F91-4F8F-A9E0-DA7AA07BF396}" name="ŞAHIS" dataDxfId="159"/>
    <tableColumn id="4" xr3:uid="{B6F74009-ABF4-4177-8956-D21DAE91DD51}" name="PLAKA" dataDxfId="158"/>
    <tableColumn id="5" xr3:uid="{856E9640-EE11-492D-9C46-7CF66890B467}" name="HAREKET" dataDxfId="157"/>
    <tableColumn id="6" xr3:uid="{36BA1CF4-5B47-4BAE-8A2B-06930DCFA97B}" name="GÜN_x000a_TEK" dataDxfId="156"/>
    <tableColumn id="7" xr3:uid="{4863B56E-6734-4772-9C13-6533FB3EADE6}" name="TUTAR" dataDxfId="155" dataCellStyle="ParaBirimi"/>
    <tableColumn id="8" xr3:uid="{38FA9B03-690C-485E-AC93-F79AFCE08878}" name="TOPLAM" dataDxfId="154" dataCellStyle="ParaBirimi">
      <calculatedColumnFormula>Tablo8[[#This Row],[GÜN
TEK]]*Tablo8[[#This Row],[TUTAR]]</calculatedColumnFormula>
    </tableColumn>
    <tableColumn id="9" xr3:uid="{A32768F6-C520-401D-9967-710C3D08BF5F}" name="0,20%" dataDxfId="153" dataCellStyle="ParaBirimi"/>
    <tableColumn id="10" xr3:uid="{34C471F3-1D1C-4A15-A702-5F6A28198593}" name="ARA TOP" dataDxfId="152" dataCellStyle="ParaBirimi"/>
    <tableColumn id="11" xr3:uid="{A085D708-B8B7-439B-806B-1F292D05EE7E}" name="0,10%" dataDxfId="151" dataCellStyle="ParaBirimi"/>
    <tableColumn id="12" xr3:uid="{72C9851F-9E77-4655-AB87-1399455C8BA6}" name="G TOPLAM" dataDxfId="150" dataCellStyle="ParaBirimi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E281C32-9ED4-46B3-8320-D9D43CCC029B}" name="Tablo812" displayName="Tablo812" ref="A69:L76" totalsRowShown="0" headerRowDxfId="149" dataDxfId="147" headerRowBorderDxfId="148">
  <autoFilter ref="A69:L76" xr:uid="{8E281C32-9ED4-46B3-8320-D9D43CCC029B}"/>
  <tableColumns count="12">
    <tableColumn id="1" xr3:uid="{B6C16E73-89F3-4922-953C-4FF078550846}" name="FİRMA" dataDxfId="146"/>
    <tableColumn id="2" xr3:uid="{2D1A6587-C1A4-429D-BB69-758A8CB7A9C0}" name="GÜZERGAH" dataDxfId="145"/>
    <tableColumn id="3" xr3:uid="{6F0432A6-2C59-4813-ABDC-1C7FCE62695D}" name="ŞAHIS" dataDxfId="144"/>
    <tableColumn id="4" xr3:uid="{E38C6E3F-8794-47A7-9D44-F2E0E0DD4809}" name="PLAKA" dataDxfId="143"/>
    <tableColumn id="5" xr3:uid="{91FBEE0F-B880-4387-A9C7-2C5811909364}" name="HAREKET" dataDxfId="142"/>
    <tableColumn id="6" xr3:uid="{C01E1A01-712A-44EC-9574-121310F09426}" name="GÜN_x000a_TEK" dataDxfId="141"/>
    <tableColumn id="7" xr3:uid="{140974D0-4005-4AA6-A15D-BD54F6D9CF26}" name="TUTAR" dataDxfId="140" dataCellStyle="ParaBirimi"/>
    <tableColumn id="8" xr3:uid="{061E874B-C9AC-45F8-A9E9-790FE3ED30F4}" name="TOPLAM" dataDxfId="139" dataCellStyle="ParaBirimi">
      <calculatedColumnFormula>Tablo812[[#This Row],[GÜN
TEK]]*Tablo812[[#This Row],[TUTAR]]</calculatedColumnFormula>
    </tableColumn>
    <tableColumn id="9" xr3:uid="{07652967-F5F0-4801-B9AE-3C073240BCF6}" name="0,20%" dataDxfId="138" dataCellStyle="ParaBirimi"/>
    <tableColumn id="10" xr3:uid="{24141BEF-FADC-4155-8BA6-6E29970A9D99}" name="ARA TOP" dataDxfId="137" dataCellStyle="ParaBirimi"/>
    <tableColumn id="11" xr3:uid="{3C941E78-B59B-4ED3-BB0C-EF8616D2DACC}" name="0,10%" dataDxfId="136" dataCellStyle="ParaBirimi"/>
    <tableColumn id="12" xr3:uid="{E082454C-9374-47EF-837E-1D88AC181EA8}" name="G TOPLAM" dataDxfId="135" dataCellStyle="ParaBirimi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B6766BD-C5E7-4531-BA70-667B5B6B09A2}" name="Tablo18" displayName="Tablo18" ref="A78:L102" totalsRowShown="0" headerRowDxfId="134" dataDxfId="132" headerRowBorderDxfId="133">
  <autoFilter ref="A78:L102" xr:uid="{1B6766BD-C5E7-4531-BA70-667B5B6B09A2}">
    <filterColumn colId="2">
      <filters>
        <filter val="UFUK KÖYMEN"/>
      </filters>
    </filterColumn>
  </autoFilter>
  <tableColumns count="12">
    <tableColumn id="1" xr3:uid="{38B29161-A1F2-421A-BB85-DDA579E33BE2}" name="FİRMA" dataDxfId="131"/>
    <tableColumn id="2" xr3:uid="{BCC336FC-E3B9-4F27-9578-3F2998B3A86C}" name="GÜZERGAH" dataDxfId="130"/>
    <tableColumn id="3" xr3:uid="{E471CA1A-8B7C-44C9-A752-B163CC1A8159}" name="ŞAHIS" dataDxfId="129"/>
    <tableColumn id="4" xr3:uid="{43EDE884-E3AE-45C4-A2FB-023C5D3C8B17}" name="PLAKA" dataDxfId="128"/>
    <tableColumn id="5" xr3:uid="{52503DB7-A9E9-4BE4-9CE8-39A06C4023BC}" name="HAREKET" dataDxfId="127"/>
    <tableColumn id="6" xr3:uid="{E496488B-FA3C-40AF-B23A-ACD5908F9732}" name="GÜN_x000a_TEK" dataDxfId="126"/>
    <tableColumn id="7" xr3:uid="{6F67C0A0-D69A-4E98-8AAB-99D2755C4892}" name="TUTAR" dataDxfId="125" dataCellStyle="ParaBirimi"/>
    <tableColumn id="8" xr3:uid="{1E295AD2-6D77-4F5D-88EF-484CF52E2172}" name="TOPLAM" dataDxfId="124" dataCellStyle="ParaBirimi">
      <calculatedColumnFormula>Tablo18[[#This Row],[GÜN
TEK]]*Tablo18[[#This Row],[TUTAR]]</calculatedColumnFormula>
    </tableColumn>
    <tableColumn id="9" xr3:uid="{97F9958C-A0E1-4B25-84A3-64CF68048060}" name="0,20%" dataDxfId="123" dataCellStyle="ParaBirimi">
      <calculatedColumnFormula>Tablo18[[#This Row],[TOPLAM]]*0.2</calculatedColumnFormula>
    </tableColumn>
    <tableColumn id="10" xr3:uid="{0BDE8B1B-07A5-4D72-AD3A-C011C58EC373}" name="ARA TOP" dataDxfId="122" dataCellStyle="ParaBirimi">
      <calculatedColumnFormula>SUM(Tablo18[[#This Row],[TOPLAM]:[0,20%]])</calculatedColumnFormula>
    </tableColumn>
    <tableColumn id="11" xr3:uid="{2B184635-6172-43A2-BCBD-C9851ED83EF0}" name="0,10%" dataDxfId="121" dataCellStyle="ParaBirimi">
      <calculatedColumnFormula>Tablo18[[#This Row],[TOPLAM]]*0.1</calculatedColumnFormula>
    </tableColumn>
    <tableColumn id="12" xr3:uid="{A6A9835F-E063-497E-B5AE-FF39DCA9A9E6}" name="G TOPLAM" dataDxfId="120" dataCellStyle="ParaBirimi">
      <calculatedColumnFormula>Tablo18[[#This Row],[TOPLAM]]+Tablo18[[#This Row],[0,20%]]-Tablo18[[#This Row],[0,10%]]</calculatedColumnFormula>
    </tableColumn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2B81F0-4547-44A9-A6E4-7A707448BD64}" name="Tablo7" displayName="Tablo7" ref="A104:L146" totalsRowShown="0" headerRowDxfId="119" dataDxfId="117" headerRowBorderDxfId="118">
  <autoFilter ref="A104:L146" xr:uid="{E12B81F0-4547-44A9-A6E4-7A707448BD64}">
    <filterColumn colId="2">
      <filters>
        <filter val="UFUK KÖYMEN"/>
      </filters>
    </filterColumn>
  </autoFilter>
  <tableColumns count="12">
    <tableColumn id="1" xr3:uid="{2BA3CAA5-7BF1-43CF-BF73-159DE1786E11}" name="FİRMA" dataDxfId="116"/>
    <tableColumn id="2" xr3:uid="{E9CDA62C-A7EF-4F8A-AA93-99AD47B25D95}" name="GÜZERGAH" dataDxfId="115"/>
    <tableColumn id="3" xr3:uid="{A181C4A5-4A55-40D9-83E8-08E316405902}" name="ŞAHIS" dataDxfId="114"/>
    <tableColumn id="4" xr3:uid="{78A40DD0-DE36-4B61-9846-86EDCCC5C9E8}" name="PLAKA" dataDxfId="113"/>
    <tableColumn id="5" xr3:uid="{1A6E86F3-4E1B-42CF-9CCA-A9E2B49BD4BE}" name="HAREKET" dataDxfId="112"/>
    <tableColumn id="6" xr3:uid="{011DF637-84CB-4CD0-AE89-6F0D6B259DBB}" name="GÜN_x000a_TEK" dataDxfId="111"/>
    <tableColumn id="7" xr3:uid="{0D480733-704D-412C-81E6-EE05BC95D9D4}" name="TUTAR" dataDxfId="110" dataCellStyle="ParaBirimi">
      <calculatedColumnFormula>SUM(G72:G104)</calculatedColumnFormula>
    </tableColumn>
    <tableColumn id="8" xr3:uid="{981E43EE-E4EB-48B8-8943-DF373774436F}" name="TOPLAM" dataDxfId="109" dataCellStyle="ParaBirimi">
      <calculatedColumnFormula>Tablo7[[#This Row],[GÜN
TEK]]*Tablo7[[#This Row],[TUTAR]]</calculatedColumnFormula>
    </tableColumn>
    <tableColumn id="9" xr3:uid="{89DC8D98-674E-45D0-B588-60E7D08CAB9D}" name="0,20%" dataDxfId="108" dataCellStyle="ParaBirimi">
      <calculatedColumnFormula>Tablo7[[#This Row],[TOPLAM]]*0.2</calculatedColumnFormula>
    </tableColumn>
    <tableColumn id="10" xr3:uid="{B6480F45-8333-4DDF-BA04-AA84453124C5}" name="ARA TOP" dataDxfId="107" dataCellStyle="ParaBirimi">
      <calculatedColumnFormula>SUM(Tablo7[[#This Row],[TOPLAM]:[0,20%]])</calculatedColumnFormula>
    </tableColumn>
    <tableColumn id="11" xr3:uid="{4D55C0AE-1963-4C8C-8F4D-7120E10F67DE}" name="0,10%" dataDxfId="106" dataCellStyle="ParaBirimi">
      <calculatedColumnFormula>Tablo7[[#This Row],[TOPLAM]]*0.1</calculatedColumnFormula>
    </tableColumn>
    <tableColumn id="12" xr3:uid="{5F6636E2-2A98-43DD-B1A2-5048FB6B2B6A}" name="G TOPLAM" dataDxfId="105" dataCellStyle="ParaBirimi">
      <calculatedColumnFormula>Tablo7[[#This Row],[TOPLAM]]+Tablo7[[#This Row],[0,20%]]-Tablo7[[#This Row],[0,10%]]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F02D0D0-A2C0-4654-9379-53115C2429B8}" name="Tablo24" displayName="Tablo24" ref="A148:L204" totalsRowShown="0" headerRowDxfId="104" dataDxfId="102" headerRowBorderDxfId="103">
  <autoFilter ref="A148:L204" xr:uid="{DF02D0D0-A2C0-4654-9379-53115C2429B8}">
    <filterColumn colId="2">
      <filters>
        <filter val="UFUK KÖYMEN"/>
      </filters>
    </filterColumn>
  </autoFilter>
  <tableColumns count="12">
    <tableColumn id="1" xr3:uid="{4DEF4506-D777-490F-B33A-2A09CE3C2A0E}" name="FİRMA" dataDxfId="101"/>
    <tableColumn id="2" xr3:uid="{0A6B744B-E91A-43FA-B292-2BAA24A21182}" name="GÜZERGAH" dataDxfId="100"/>
    <tableColumn id="3" xr3:uid="{71AAB514-FD19-4269-B305-831E623DF211}" name="ŞAHIS" dataDxfId="99"/>
    <tableColumn id="4" xr3:uid="{04BD68A8-7F05-4B0E-AF69-D9101C3818AE}" name="PLAKA" dataDxfId="98"/>
    <tableColumn id="5" xr3:uid="{5A9CA2AE-EF65-44A7-B07F-7D4E44098550}" name="HAREKET" dataDxfId="97"/>
    <tableColumn id="6" xr3:uid="{51299EA2-F880-4AE8-B01B-119F114F7563}" name="GÜN_x000a_TEK" dataDxfId="96"/>
    <tableColumn id="7" xr3:uid="{961A474F-70B8-471D-9CC7-10F1FCD59C3D}" name="TUTAR" dataDxfId="95" dataCellStyle="ParaBirimi"/>
    <tableColumn id="8" xr3:uid="{DE6B65D7-D913-4715-A056-B38F35EEC0CE}" name="TOPLAM" dataDxfId="94" dataCellStyle="ParaBirimi">
      <calculatedColumnFormula>Tablo24[[#This Row],[GÜN
TEK]]*Tablo24[[#This Row],[TUTAR]]</calculatedColumnFormula>
    </tableColumn>
    <tableColumn id="9" xr3:uid="{AB86AFBD-D83B-4269-83A2-4455A34CD37F}" name="0,20%" dataDxfId="93" dataCellStyle="ParaBirimi">
      <calculatedColumnFormula>Tablo24[[#This Row],[TOPLAM]]*0.2</calculatedColumnFormula>
    </tableColumn>
    <tableColumn id="10" xr3:uid="{CBB8F8AB-EFE9-4FED-90ED-6FEE8DDEB17A}" name="ARA TOP" dataDxfId="92" dataCellStyle="ParaBirimi">
      <calculatedColumnFormula>SUM(Tablo24[[#This Row],[TOPLAM]:[0,20%]])</calculatedColumnFormula>
    </tableColumn>
    <tableColumn id="11" xr3:uid="{19770443-4849-47AB-AE2F-F0E1D46903CF}" name="0,10%" dataDxfId="91" dataCellStyle="ParaBirimi">
      <calculatedColumnFormula>Tablo24[[#This Row],[TOPLAM]]*0.1</calculatedColumnFormula>
    </tableColumn>
    <tableColumn id="12" xr3:uid="{131E2032-E18F-4C20-B03D-B091AF58FB73}" name="G TOPLAM" dataDxfId="90" dataCellStyle="ParaBirimi">
      <calculatedColumnFormula>Tablo24[[#This Row],[TOPLAM]]+Tablo24[[#This Row],[0,20%]]-Tablo24[[#This Row],[0,10%]]</calculatedColumnFormula>
    </tableColumn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11B6E6C-0B43-434E-8C64-07DD4B8FA0E4}" name="Tablo25" displayName="Tablo25" ref="A206:L223" totalsRowShown="0" headerRowDxfId="89" dataDxfId="87" headerRowBorderDxfId="88" headerRowCellStyle="ParaBirimi" dataCellStyle="ParaBirimi">
  <autoFilter ref="A206:L223" xr:uid="{A11B6E6C-0B43-434E-8C64-07DD4B8FA0E4}"/>
  <tableColumns count="12">
    <tableColumn id="1" xr3:uid="{1486E28A-BC29-4F1A-A931-AA180B0C9207}" name="FİRMA" dataDxfId="86"/>
    <tableColumn id="2" xr3:uid="{066AAC40-81C3-49CA-8412-ED395901C3F0}" name="GÜZERGAH" dataDxfId="85"/>
    <tableColumn id="3" xr3:uid="{FA5370C0-F607-4A67-8E0B-EBF5A56043B9}" name="ŞAHIS" dataDxfId="84"/>
    <tableColumn id="4" xr3:uid="{2DAC04BC-C749-4FA3-9352-E49897B18AC8}" name="PLAKA" dataDxfId="83"/>
    <tableColumn id="5" xr3:uid="{3D69D971-9902-4F68-A753-8D25234F5D26}" name="HAREKET" dataDxfId="82"/>
    <tableColumn id="6" xr3:uid="{4740D7DB-A6C4-4E23-9ABC-8BC029F144CE}" name="GÜN_x000a_TEK" dataDxfId="81"/>
    <tableColumn id="7" xr3:uid="{B6923315-63E7-4EAC-8BC0-46C63D94B81D}" name="TUTAR" dataDxfId="80" dataCellStyle="ParaBirimi"/>
    <tableColumn id="8" xr3:uid="{61E3325E-6C97-43D1-9CED-0D77DED6074C}" name="TOPLAM" dataDxfId="79" dataCellStyle="ParaBirimi">
      <calculatedColumnFormula>SUBTOTAL(109,H195:H206)</calculatedColumnFormula>
    </tableColumn>
    <tableColumn id="9" xr3:uid="{76F713FA-80B9-4EC1-A728-29E65311B4E7}" name="0,20%" dataDxfId="78" dataCellStyle="ParaBirimi">
      <calculatedColumnFormula>Tablo25[[#This Row],[TOPLAM]]*0.2</calculatedColumnFormula>
    </tableColumn>
    <tableColumn id="10" xr3:uid="{B491DD2D-13FF-4A42-94AA-48F8BE7FB03D}" name="ARA TOP" dataDxfId="77" dataCellStyle="ParaBirimi">
      <calculatedColumnFormula>SUM(Tablo25[[#This Row],[TOPLAM]:[0,20%]])</calculatedColumnFormula>
    </tableColumn>
    <tableColumn id="11" xr3:uid="{C2552D55-0988-49D2-93F8-9E238AF7FB85}" name="0,10%" dataDxfId="76" dataCellStyle="ParaBirimi">
      <calculatedColumnFormula>Tablo25[[#This Row],[TOPLAM]]*0.1</calculatedColumnFormula>
    </tableColumn>
    <tableColumn id="12" xr3:uid="{2612A33E-CD65-4C83-B614-42EEF09B64B8}" name="G TOPLAM" dataDxfId="75" dataCellStyle="ParaBirimi">
      <calculatedColumnFormula>Tablo25[[#This Row],[TOPLAM]]+Tablo25[[#This Row],[0,20%]]-Tablo25[[#This Row],[0,10%]]</calculatedColumnFormula>
    </tableColumn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B9EE799-C8F6-42DD-A767-A06EEC7C5660}" name="Tablo28" displayName="Tablo28" ref="A225:L249" totalsRowShown="0" headerRowDxfId="74" dataDxfId="72" headerRowBorderDxfId="73" headerRowCellStyle="ParaBirimi" dataCellStyle="ParaBirimi">
  <autoFilter ref="A225:L249" xr:uid="{8B9EE799-C8F6-42DD-A767-A06EEC7C5660}"/>
  <tableColumns count="12">
    <tableColumn id="1" xr3:uid="{E3FFD239-BAFC-4EF8-B497-E49E5D2E46BB}" name="FİRMA" dataDxfId="71"/>
    <tableColumn id="2" xr3:uid="{1A63F0CA-8F22-438B-85BC-816486B02E43}" name="GÜZERGAH" dataDxfId="70"/>
    <tableColumn id="3" xr3:uid="{5B3E8365-D02C-421C-9F73-76CF56E7169A}" name="ŞAHIS" dataDxfId="69"/>
    <tableColumn id="4" xr3:uid="{1116DC95-F729-47AE-B10A-EF4A4E644636}" name="PLAKA" dataDxfId="68"/>
    <tableColumn id="5" xr3:uid="{2F785CD7-AF51-4F07-A61F-8BCF6DC3D8C4}" name="HAREKET" dataDxfId="67"/>
    <tableColumn id="6" xr3:uid="{E1075B65-D7A0-4C2A-9AC8-42046D8EFDCC}" name="GÜN_x000a_TEK" dataDxfId="66"/>
    <tableColumn id="7" xr3:uid="{6755CAB3-0AC8-4F52-B24D-9D61FC94E222}" name="TUTAR" dataDxfId="65" dataCellStyle="ParaBirimi"/>
    <tableColumn id="8" xr3:uid="{FAA1B734-D793-4FDA-A95F-0FEEBC6F4BF8}" name="TOPLAM" dataDxfId="64" dataCellStyle="ParaBirimi">
      <calculatedColumnFormula>SUBTOTAL(109,H204:H225)</calculatedColumnFormula>
    </tableColumn>
    <tableColumn id="9" xr3:uid="{B21EF0ED-D18C-4061-8018-DF7475188D84}" name="0,20%" dataDxfId="63" dataCellStyle="ParaBirimi">
      <calculatedColumnFormula>Tablo28[[#This Row],[TOPLAM]]*0.2</calculatedColumnFormula>
    </tableColumn>
    <tableColumn id="10" xr3:uid="{AF7E9264-E462-406B-A092-43F3D8FF9A4B}" name="ARA TOP" dataDxfId="62" dataCellStyle="ParaBirimi">
      <calculatedColumnFormula>SUM(Tablo28[[#This Row],[TOPLAM]:[0,20%]])</calculatedColumnFormula>
    </tableColumn>
    <tableColumn id="11" xr3:uid="{4BB4B4FB-0B04-47F4-B6D3-048B378823E4}" name="0,10%" dataDxfId="61" dataCellStyle="ParaBirimi">
      <calculatedColumnFormula>Tablo28[[#This Row],[TOPLAM]]*0.1</calculatedColumnFormula>
    </tableColumn>
    <tableColumn id="12" xr3:uid="{60FB9CE7-3EA5-468B-A116-0728559D68CC}" name="G TOPLAM" dataDxfId="60" dataCellStyle="ParaBirimi">
      <calculatedColumnFormula>Tablo28[[#This Row],[TOPLAM]]+Tablo28[[#This Row],[0,20%]]-Tablo28[[#This Row],[0,10%]]</calculatedColumnFormula>
    </tableColumn>
  </tableColumns>
  <tableStyleInfo name="TableStyleLight1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496ECAA-8E4B-4F47-AB71-1598A5A088F0}" name="Tablo29" displayName="Tablo29" ref="A251:L281" totalsRowShown="0" headerRowDxfId="59" dataDxfId="57" headerRowBorderDxfId="58" headerRowCellStyle="ParaBirimi" dataCellStyle="ParaBirimi">
  <autoFilter ref="A251:L281" xr:uid="{8496ECAA-8E4B-4F47-AB71-1598A5A088F0}">
    <filterColumn colId="2">
      <filters>
        <filter val="UFUK KÖYMEN"/>
      </filters>
    </filterColumn>
  </autoFilter>
  <tableColumns count="12">
    <tableColumn id="1" xr3:uid="{B0622CC8-A67E-416F-94F5-EAA2553F2E95}" name="FİRMA" dataDxfId="56"/>
    <tableColumn id="2" xr3:uid="{E4FAADA4-F56A-44FE-A106-C867860E26F6}" name="GÜZERGAH" dataDxfId="55"/>
    <tableColumn id="3" xr3:uid="{C440EF55-B800-45EE-A60A-75FEA345DE08}" name="ŞAHIS" dataDxfId="54"/>
    <tableColumn id="4" xr3:uid="{B67C821C-D5C3-45B8-8A15-5401A1FCB1A3}" name="PLAKA" dataDxfId="53"/>
    <tableColumn id="5" xr3:uid="{4B7E66E6-4F17-40AD-A54D-B1A95EE03ABF}" name="HAREKET" dataDxfId="52"/>
    <tableColumn id="6" xr3:uid="{E9363256-07B3-4F8B-92E5-FCB3E672347D}" name="GÜN_x000a_TEK" dataDxfId="51"/>
    <tableColumn id="7" xr3:uid="{7FA1A95F-8888-4DC9-B107-831426EF0E39}" name="TUTAR" dataDxfId="50" dataCellStyle="ParaBirimi"/>
    <tableColumn id="8" xr3:uid="{A767006A-24AE-4FDF-AAA6-4920A37FA8A7}" name="TOPLAM" dataDxfId="49" dataCellStyle="ParaBirimi">
      <calculatedColumnFormula>Tablo29[[#This Row],[GÜN
TEK]]*Tablo29[[#This Row],[TUTAR]]</calculatedColumnFormula>
    </tableColumn>
    <tableColumn id="9" xr3:uid="{BFC8C5E8-185D-4DA6-9EA3-ACA1267597EB}" name="0,20%" dataDxfId="48" dataCellStyle="ParaBirimi">
      <calculatedColumnFormula>Tablo29[[#This Row],[TOPLAM]]*0.2</calculatedColumnFormula>
    </tableColumn>
    <tableColumn id="10" xr3:uid="{BD7876C9-2923-4898-B00D-E1608DF2FBAC}" name="ARA TOP" dataDxfId="47" dataCellStyle="ParaBirimi">
      <calculatedColumnFormula>SUM(Tablo29[[#This Row],[TOPLAM]:[0,20%]])</calculatedColumnFormula>
    </tableColumn>
    <tableColumn id="11" xr3:uid="{12C6605B-0D22-49B4-A810-77FA17C73374}" name="0,10%" dataDxfId="46" dataCellStyle="ParaBirimi">
      <calculatedColumnFormula>Tablo29[[#This Row],[TOPLAM]]*0.1</calculatedColumnFormula>
    </tableColumn>
    <tableColumn id="12" xr3:uid="{B92C8E80-CF21-40AD-9467-594C0AB8DCD9}" name="G TOPLAM" dataDxfId="45" dataCellStyle="ParaBirimi">
      <calculatedColumnFormula>Tablo29[[#This Row],[TOPLAM]]+Tablo29[[#This Row],[0,20%]]-Tablo29[[#This Row],[0,10%]]</calculatedColumnFormula>
    </tableColumn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D1E7084-B2EA-446A-99EE-A1908E2C29FF}" name="Tablo30" displayName="Tablo30" ref="A283:L302" totalsRowShown="0" headerRowDxfId="44" dataDxfId="42" headerRowBorderDxfId="43" headerRowCellStyle="ParaBirimi" dataCellStyle="ParaBirimi">
  <autoFilter ref="A283:L302" xr:uid="{9D1E7084-B2EA-446A-99EE-A1908E2C29FF}"/>
  <tableColumns count="12">
    <tableColumn id="1" xr3:uid="{89DFCC60-21D0-4AC7-A71B-DF266BC7DF95}" name="FİRMA" dataDxfId="41"/>
    <tableColumn id="2" xr3:uid="{125AEF34-CAE9-4760-BAB1-C5686E4B639E}" name="GÜZERGAH" dataDxfId="40"/>
    <tableColumn id="3" xr3:uid="{C84945B5-FD3F-4B66-8015-31600618860C}" name="ŞAHIS" dataDxfId="39"/>
    <tableColumn id="4" xr3:uid="{89DC1C8D-CDAF-4226-A957-DB740AC32502}" name="PLAKA" dataDxfId="38"/>
    <tableColumn id="5" xr3:uid="{FF104D98-2D19-4967-923A-C0657A71D9EE}" name="HAREKET" dataDxfId="37"/>
    <tableColumn id="6" xr3:uid="{A5B06D65-D772-4485-8A83-11358FF6DD51}" name="GÜN_x000a_TEK" dataDxfId="36"/>
    <tableColumn id="7" xr3:uid="{5EDC0984-939D-411E-9118-13F197613D3F}" name="TUTAR" dataDxfId="35" dataCellStyle="ParaBirimi"/>
    <tableColumn id="8" xr3:uid="{FDD48B2F-A3D7-4EEF-A736-31DD52E406A9}" name="TOPLAM" dataDxfId="34" dataCellStyle="ParaBirimi">
      <calculatedColumnFormula>SUBTOTAL(109,H268:H283)</calculatedColumnFormula>
    </tableColumn>
    <tableColumn id="9" xr3:uid="{19ACAD7D-D1D8-4A35-A6C1-25BF3D70CCEB}" name="0,20%" dataDxfId="33" dataCellStyle="ParaBirimi">
      <calculatedColumnFormula>Tablo30[[#This Row],[TOPLAM]]*0.2</calculatedColumnFormula>
    </tableColumn>
    <tableColumn id="10" xr3:uid="{0EB5471B-25F4-4332-A370-8DE2113EC6CF}" name="ARA TOP" dataDxfId="32" dataCellStyle="ParaBirimi">
      <calculatedColumnFormula>SUM(Tablo30[[#This Row],[TOPLAM]:[0,20%]])</calculatedColumnFormula>
    </tableColumn>
    <tableColumn id="11" xr3:uid="{8CC66454-1519-4546-9CA5-6CC4E6771A58}" name="0,10%" dataDxfId="31" dataCellStyle="ParaBirimi">
      <calculatedColumnFormula>Tablo30[[#This Row],[TOPLAM]]*0.1</calculatedColumnFormula>
    </tableColumn>
    <tableColumn id="12" xr3:uid="{A92E723A-D0B7-4A08-B1FC-5EAC5431B16A}" name="G TOPLAM" dataDxfId="30" dataCellStyle="ParaBirimi">
      <calculatedColumnFormula>Tablo30[[#This Row],[TOPLAM]]+Tablo30[[#This Row],[0,20%]]-Tablo30[[#This Row],[0,10%]]</calculatedColumnFormula>
    </tableColumn>
  </tableColumns>
  <tableStyleInfo name="TableStyleLight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8625107-3D7B-4402-B0E5-5A212EA2FAC3}" name="Tablo33" displayName="Tablo33" ref="A304:L314" totalsRowShown="0" headerRowDxfId="29" dataDxfId="27" headerRowBorderDxfId="28" headerRowCellStyle="ParaBirimi" dataCellStyle="ParaBirimi">
  <autoFilter ref="A304:L314" xr:uid="{88625107-3D7B-4402-B0E5-5A212EA2FAC3}"/>
  <tableColumns count="12">
    <tableColumn id="1" xr3:uid="{9BE71FCC-2AEE-4D9B-8432-0B6625E782FE}" name="FİRMA" dataDxfId="26"/>
    <tableColumn id="2" xr3:uid="{3D3D22CC-C5A2-48B5-B815-060CEED8E85B}" name="GÜZERGAH" dataDxfId="25"/>
    <tableColumn id="3" xr3:uid="{F48EB3DB-42E9-476E-8A2A-059FD7C82986}" name="ŞAHIS" dataDxfId="24"/>
    <tableColumn id="4" xr3:uid="{449363F3-5FA5-4422-94FC-974A0A9FD47B}" name="PLAKA" dataDxfId="23"/>
    <tableColumn id="5" xr3:uid="{FDB410A3-7452-46EA-A9B8-C27557FC2F57}" name="HAREKET" dataDxfId="22"/>
    <tableColumn id="6" xr3:uid="{CF857C27-E5F4-4212-A03A-19271B407D77}" name="GÜN_x000a_TEK" dataDxfId="21"/>
    <tableColumn id="7" xr3:uid="{1D84642C-C196-4731-91B4-82D13875E2BE}" name="TUTAR" dataDxfId="20" dataCellStyle="ParaBirimi"/>
    <tableColumn id="8" xr3:uid="{F1BA814E-1DDA-4507-B803-C4A9FEF4C009}" name="TOPLAM" dataDxfId="19" dataCellStyle="ParaBirimi">
      <calculatedColumnFormula>Tablo33[[#This Row],[GÜN
TEK]]*Tablo33[[#This Row],[TUTAR]]</calculatedColumnFormula>
    </tableColumn>
    <tableColumn id="9" xr3:uid="{43105D70-2784-4ACF-87F7-D91D49E06AB4}" name="0,20%" dataDxfId="18" dataCellStyle="ParaBirimi">
      <calculatedColumnFormula>Tablo33[[#This Row],[TOPLAM]]*0.2</calculatedColumnFormula>
    </tableColumn>
    <tableColumn id="10" xr3:uid="{26F05483-C1D6-4C6B-8203-ED91A14C11A6}" name="ARA TOP" dataDxfId="17" dataCellStyle="ParaBirimi">
      <calculatedColumnFormula>SUM(Tablo33[[#This Row],[TOPLAM]:[0,20%]])</calculatedColumnFormula>
    </tableColumn>
    <tableColumn id="11" xr3:uid="{55ECB58C-8513-4AB1-913B-6DA15B01B190}" name="0,10%" dataDxfId="16" dataCellStyle="ParaBirimi">
      <calculatedColumnFormula>Tablo33[[#This Row],[TOPLAM]]*0.1</calculatedColumnFormula>
    </tableColumn>
    <tableColumn id="12" xr3:uid="{A186510F-C193-4904-B43D-9C542B932939}" name="G TOPLAM" dataDxfId="15" dataCellStyle="ParaBirimi">
      <calculatedColumnFormula>Tablo33[[#This Row],[TOPLAM]]+Tablo33[[#This Row],[0,20%]]-Tablo33[[#This Row],[0,10%]]</calculatedColumnFormula>
    </tableColumn>
  </tableColumns>
  <tableStyleInfo name="TableStyleLight1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4925569-B813-4431-A60B-6813BF75843F}" name="Tablo34" displayName="Tablo34" ref="A316:L320" totalsRowShown="0" headerRowDxfId="14" dataDxfId="12" headerRowBorderDxfId="13" headerRowCellStyle="ParaBirimi" dataCellStyle="ParaBirimi">
  <autoFilter ref="A316:L320" xr:uid="{A4925569-B813-4431-A60B-6813BF75843F}"/>
  <tableColumns count="12">
    <tableColumn id="1" xr3:uid="{873FD92C-48C2-4981-9277-886B72777F5F}" name="FİRMA" dataDxfId="11"/>
    <tableColumn id="2" xr3:uid="{F6AC16C8-ED0D-4B46-9A7C-CAAB92E187CA}" name="GÜZERGAH" dataDxfId="10"/>
    <tableColumn id="3" xr3:uid="{BEDAD5CF-481C-4447-89D8-560A09A00925}" name="ŞAHIS" dataDxfId="9"/>
    <tableColumn id="4" xr3:uid="{4A0921C4-A118-45B7-87E0-0421B59F946F}" name="PLAKA" dataDxfId="8"/>
    <tableColumn id="5" xr3:uid="{F4E50E85-DB44-4443-9D3A-3CEA79537ECC}" name="HAREKET" dataDxfId="7"/>
    <tableColumn id="6" xr3:uid="{B1F9AC67-7BC0-4F34-897B-7038A77396D9}" name="GÜN_x000a_TEK" dataDxfId="6"/>
    <tableColumn id="7" xr3:uid="{8EF319AE-2764-4789-86EF-7490FABF9774}" name="TUTAR" dataDxfId="5" dataCellStyle="ParaBirimi"/>
    <tableColumn id="8" xr3:uid="{870280F9-7F33-4D04-876A-0185097A0AFF}" name="TOPLAM" dataDxfId="4" dataCellStyle="ParaBirimi">
      <calculatedColumnFormula>Tablo34[[#This Row],[GÜN
TEK]]*Tablo34[[#This Row],[TUTAR]]</calculatedColumnFormula>
    </tableColumn>
    <tableColumn id="9" xr3:uid="{17EBD522-F33E-4BBE-B25E-23E9D61BC26B}" name="0,20%" dataDxfId="3" dataCellStyle="ParaBirimi">
      <calculatedColumnFormula>Tablo34[[#This Row],[TOPLAM]]*0.2</calculatedColumnFormula>
    </tableColumn>
    <tableColumn id="10" xr3:uid="{B7506C94-EAD0-4D26-ABED-044E5C8FB731}" name="ARA TOP" dataDxfId="2" dataCellStyle="ParaBirimi">
      <calculatedColumnFormula>SUM(Tablo34[[#This Row],[TOPLAM]:[0,20%]])</calculatedColumnFormula>
    </tableColumn>
    <tableColumn id="11" xr3:uid="{3A55E25C-0EBD-4121-848D-AB73D707912C}" name="0,10%" dataDxfId="1" dataCellStyle="ParaBirimi">
      <calculatedColumnFormula>Tablo34[[#This Row],[TOPLAM]]*0.1</calculatedColumnFormula>
    </tableColumn>
    <tableColumn id="12" xr3:uid="{F72D6696-1B41-4CDC-A4B8-98A12D9B929D}" name="G TOPLAM" dataDxfId="0" dataCellStyle="ParaBirimi">
      <calculatedColumnFormula>Tablo34[[#This Row],[TOPLAM]]+Tablo34[[#This Row],[0,20%]]-Tablo34[[#This Row],[0,10%]]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5" Type="http://schemas.openxmlformats.org/officeDocument/2006/relationships/comments" Target="../comments1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A266-64DB-48E1-A4B1-CE2DFCDF363F}">
  <sheetPr>
    <pageSetUpPr fitToPage="1"/>
  </sheetPr>
  <dimension ref="A1:L324"/>
  <sheetViews>
    <sheetView tabSelected="1" topLeftCell="A77" workbookViewId="0">
      <selection activeCell="M110" sqref="M110"/>
    </sheetView>
  </sheetViews>
  <sheetFormatPr defaultColWidth="8.88671875" defaultRowHeight="13.8" x14ac:dyDescent="0.25"/>
  <cols>
    <col min="1" max="1" width="17.88671875" style="130" customWidth="1"/>
    <col min="2" max="2" width="31.5546875" style="130" customWidth="1"/>
    <col min="3" max="3" width="29.6640625" style="130" customWidth="1"/>
    <col min="4" max="4" width="10.6640625" style="130" hidden="1" customWidth="1"/>
    <col min="5" max="5" width="12.5546875" style="130" customWidth="1"/>
    <col min="6" max="6" width="9.44140625" style="130" customWidth="1"/>
    <col min="7" max="7" width="13.6640625" style="131" customWidth="1"/>
    <col min="8" max="8" width="16.33203125" style="132" bestFit="1" customWidth="1"/>
    <col min="9" max="9" width="14.6640625" style="132" customWidth="1"/>
    <col min="10" max="10" width="16.33203125" style="132" customWidth="1"/>
    <col min="11" max="11" width="14.6640625" style="132" customWidth="1"/>
    <col min="12" max="12" width="16.6640625" style="132" customWidth="1"/>
    <col min="13" max="16384" width="8.88671875" style="129"/>
  </cols>
  <sheetData>
    <row r="1" spans="1:12" s="128" customFormat="1" ht="28.2" customHeight="1" thickBot="1" x14ac:dyDescent="0.35">
      <c r="A1" s="157" t="s">
        <v>202</v>
      </c>
      <c r="B1" s="157" t="s">
        <v>327</v>
      </c>
      <c r="C1" s="157" t="s">
        <v>0</v>
      </c>
      <c r="D1" s="157" t="s">
        <v>1</v>
      </c>
      <c r="E1" s="157" t="s">
        <v>326</v>
      </c>
      <c r="F1" s="158" t="s">
        <v>328</v>
      </c>
      <c r="G1" s="159" t="s">
        <v>2</v>
      </c>
      <c r="H1" s="159" t="s">
        <v>3</v>
      </c>
      <c r="I1" s="159" t="s">
        <v>229</v>
      </c>
      <c r="J1" s="159" t="s">
        <v>4</v>
      </c>
      <c r="K1" s="159" t="s">
        <v>228</v>
      </c>
      <c r="L1" s="159" t="s">
        <v>5</v>
      </c>
    </row>
    <row r="2" spans="1:12" x14ac:dyDescent="0.25">
      <c r="A2" s="130" t="s">
        <v>29</v>
      </c>
      <c r="B2" s="130" t="s">
        <v>6</v>
      </c>
      <c r="C2" s="130" t="s">
        <v>7</v>
      </c>
      <c r="E2" s="130" t="s">
        <v>325</v>
      </c>
      <c r="F2" s="130">
        <v>19</v>
      </c>
      <c r="G2" s="131">
        <v>1800</v>
      </c>
      <c r="H2" s="132">
        <f>Tablo5[[#This Row],[GÜN
TEK]]*Tablo5[[#This Row],[TUTAR]]</f>
        <v>34200</v>
      </c>
      <c r="I2" s="132">
        <f>Tablo5[[#This Row],[TOPLAM]]*0.2</f>
        <v>6840</v>
      </c>
      <c r="J2" s="132">
        <f>SUM(Tablo5[[#This Row],[TOPLAM]:[0,20%]])</f>
        <v>41040</v>
      </c>
      <c r="K2" s="132">
        <f>Tablo5[[#This Row],[TOPLAM]]*0.1</f>
        <v>3420</v>
      </c>
      <c r="L2" s="132">
        <f>Tablo5[[#This Row],[TOPLAM]]+Tablo5[[#This Row],[0,20%]]-Tablo5[[#This Row],[0,10%]]</f>
        <v>37620</v>
      </c>
    </row>
    <row r="3" spans="1:12" x14ac:dyDescent="0.25">
      <c r="A3" s="130" t="s">
        <v>29</v>
      </c>
      <c r="B3" s="130" t="s">
        <v>329</v>
      </c>
      <c r="C3" s="130" t="s">
        <v>7</v>
      </c>
      <c r="E3" s="130" t="s">
        <v>10</v>
      </c>
      <c r="H3" s="132">
        <f>Tablo5[[#This Row],[GÜN
TEK]]*Tablo5[[#This Row],[TUTAR]]</f>
        <v>0</v>
      </c>
      <c r="I3" s="132">
        <f>Tablo5[[#This Row],[TOPLAM]]*0.2</f>
        <v>0</v>
      </c>
      <c r="J3" s="132">
        <f>SUM(Tablo5[[#This Row],[TOPLAM]:[0,20%]])</f>
        <v>0</v>
      </c>
      <c r="K3" s="132">
        <f>Tablo5[[#This Row],[TOPLAM]]*0.1</f>
        <v>0</v>
      </c>
      <c r="L3" s="132">
        <f>Tablo5[[#This Row],[TOPLAM]]+Tablo5[[#This Row],[0,20%]]-Tablo5[[#This Row],[0,10%]]</f>
        <v>0</v>
      </c>
    </row>
    <row r="4" spans="1:12" x14ac:dyDescent="0.25">
      <c r="A4" s="130" t="s">
        <v>29</v>
      </c>
      <c r="B4" s="130" t="s">
        <v>543</v>
      </c>
      <c r="C4" s="130" t="s">
        <v>7</v>
      </c>
      <c r="E4" s="130" t="s">
        <v>514</v>
      </c>
      <c r="G4" s="131">
        <v>6500</v>
      </c>
      <c r="H4" s="132">
        <f>Tablo5[[#This Row],[GÜN
TEK]]*Tablo5[[#This Row],[TUTAR]]</f>
        <v>0</v>
      </c>
      <c r="I4" s="132">
        <f>Tablo5[[#This Row],[TOPLAM]]*0.2</f>
        <v>0</v>
      </c>
      <c r="J4" s="132">
        <f>SUM(Tablo5[[#This Row],[TOPLAM]:[0,20%]])</f>
        <v>0</v>
      </c>
      <c r="L4" s="132">
        <f>Tablo5[[#This Row],[TOPLAM]]+Tablo5[[#This Row],[0,20%]]-Tablo5[[#This Row],[0,10%]]</f>
        <v>0</v>
      </c>
    </row>
    <row r="5" spans="1:12" hidden="1" x14ac:dyDescent="0.25">
      <c r="A5" s="130" t="s">
        <v>29</v>
      </c>
      <c r="B5" s="130" t="s">
        <v>330</v>
      </c>
      <c r="C5" s="130" t="s">
        <v>331</v>
      </c>
      <c r="E5" s="130" t="s">
        <v>325</v>
      </c>
      <c r="F5" s="130">
        <v>13</v>
      </c>
      <c r="G5" s="131">
        <v>2900</v>
      </c>
      <c r="H5" s="132">
        <f>Tablo5[[#This Row],[GÜN
TEK]]*Tablo5[[#This Row],[TUTAR]]</f>
        <v>37700</v>
      </c>
      <c r="I5" s="132">
        <f>Tablo5[[#This Row],[TOPLAM]]*0.2</f>
        <v>7540</v>
      </c>
      <c r="J5" s="132">
        <f>SUM(Tablo5[[#This Row],[TOPLAM]:[0,20%]])</f>
        <v>45240</v>
      </c>
      <c r="K5" s="132">
        <f>Tablo5[[#This Row],[TOPLAM]]*0.1</f>
        <v>3770</v>
      </c>
      <c r="L5" s="132">
        <f>Tablo5[[#This Row],[TOPLAM]]+Tablo5[[#This Row],[0,20%]]-Tablo5[[#This Row],[0,10%]]</f>
        <v>41470</v>
      </c>
    </row>
    <row r="6" spans="1:12" hidden="1" x14ac:dyDescent="0.25">
      <c r="A6" s="130" t="s">
        <v>29</v>
      </c>
      <c r="B6" s="130" t="s">
        <v>332</v>
      </c>
      <c r="C6" s="130" t="s">
        <v>12</v>
      </c>
      <c r="E6" s="130" t="s">
        <v>325</v>
      </c>
      <c r="F6" s="130">
        <v>16</v>
      </c>
      <c r="G6" s="131">
        <v>2700</v>
      </c>
      <c r="H6" s="132">
        <f>Tablo5[[#This Row],[GÜN
TEK]]*Tablo5[[#This Row],[TUTAR]]</f>
        <v>43200</v>
      </c>
      <c r="I6" s="132">
        <f>Tablo5[[#This Row],[TOPLAM]]*0.2</f>
        <v>8640</v>
      </c>
      <c r="J6" s="132">
        <f>SUM(Tablo5[[#This Row],[TOPLAM]:[0,20%]])</f>
        <v>51840</v>
      </c>
      <c r="K6" s="132">
        <f>Tablo5[[#This Row],[TOPLAM]]*0.1</f>
        <v>4320</v>
      </c>
      <c r="L6" s="132">
        <f>Tablo5[[#This Row],[TOPLAM]]+Tablo5[[#This Row],[0,20%]]-Tablo5[[#This Row],[0,10%]]</f>
        <v>47520</v>
      </c>
    </row>
    <row r="7" spans="1:12" hidden="1" x14ac:dyDescent="0.25">
      <c r="A7" s="130" t="s">
        <v>29</v>
      </c>
      <c r="B7" s="130" t="s">
        <v>333</v>
      </c>
      <c r="C7" s="130" t="s">
        <v>13</v>
      </c>
      <c r="E7" s="130" t="s">
        <v>10</v>
      </c>
      <c r="H7" s="132">
        <f>Tablo5[[#This Row],[GÜN
TEK]]*Tablo5[[#This Row],[TUTAR]]</f>
        <v>0</v>
      </c>
      <c r="I7" s="132">
        <f>Tablo5[[#This Row],[TOPLAM]]*0.2</f>
        <v>0</v>
      </c>
      <c r="J7" s="132">
        <f>SUM(Tablo5[[#This Row],[TOPLAM]:[0,20%]])</f>
        <v>0</v>
      </c>
      <c r="K7" s="132">
        <f>Tablo5[[#This Row],[TOPLAM]]*0.1</f>
        <v>0</v>
      </c>
      <c r="L7" s="132">
        <f>Tablo5[[#This Row],[TOPLAM]]+Tablo5[[#This Row],[0,20%]]-Tablo5[[#This Row],[0,10%]]</f>
        <v>0</v>
      </c>
    </row>
    <row r="8" spans="1:12" hidden="1" x14ac:dyDescent="0.25">
      <c r="A8" s="130" t="s">
        <v>29</v>
      </c>
      <c r="B8" s="130" t="s">
        <v>235</v>
      </c>
      <c r="C8" s="130" t="s">
        <v>13</v>
      </c>
      <c r="E8" s="130" t="s">
        <v>325</v>
      </c>
      <c r="F8" s="130">
        <v>19</v>
      </c>
      <c r="G8" s="131">
        <v>1800</v>
      </c>
      <c r="H8" s="132">
        <f>Tablo5[[#This Row],[GÜN
TEK]]*Tablo5[[#This Row],[TUTAR]]</f>
        <v>34200</v>
      </c>
      <c r="I8" s="132">
        <f>Tablo5[[#This Row],[TOPLAM]]*0.2</f>
        <v>6840</v>
      </c>
      <c r="J8" s="132">
        <f>SUM(Tablo5[[#This Row],[TOPLAM]:[0,20%]])</f>
        <v>41040</v>
      </c>
      <c r="K8" s="132">
        <f>Tablo5[[#This Row],[TOPLAM]]*0.1</f>
        <v>3420</v>
      </c>
      <c r="L8" s="132">
        <f>Tablo5[[#This Row],[TOPLAM]]+Tablo5[[#This Row],[0,20%]]-Tablo5[[#This Row],[0,10%]]</f>
        <v>37620</v>
      </c>
    </row>
    <row r="9" spans="1:12" hidden="1" x14ac:dyDescent="0.25">
      <c r="A9" s="130" t="s">
        <v>29</v>
      </c>
      <c r="B9" s="130" t="s">
        <v>334</v>
      </c>
      <c r="C9" s="130" t="s">
        <v>13</v>
      </c>
      <c r="E9" s="130" t="s">
        <v>10</v>
      </c>
      <c r="F9" s="130">
        <v>1</v>
      </c>
      <c r="G9" s="131">
        <f>G8*2/3</f>
        <v>1200</v>
      </c>
      <c r="H9" s="132">
        <f>Tablo5[[#This Row],[GÜN
TEK]]*Tablo5[[#This Row],[TUTAR]]</f>
        <v>1200</v>
      </c>
      <c r="I9" s="132">
        <f>Tablo5[[#This Row],[TOPLAM]]*0.2</f>
        <v>240</v>
      </c>
      <c r="J9" s="132">
        <f>SUM(Tablo5[[#This Row],[TOPLAM]:[0,20%]])</f>
        <v>1440</v>
      </c>
      <c r="K9" s="132">
        <f>Tablo5[[#This Row],[TOPLAM]]*0.1</f>
        <v>120</v>
      </c>
      <c r="L9" s="132">
        <f>Tablo5[[#This Row],[TOPLAM]]+Tablo5[[#This Row],[0,20%]]-Tablo5[[#This Row],[0,10%]]</f>
        <v>1320</v>
      </c>
    </row>
    <row r="10" spans="1:12" hidden="1" x14ac:dyDescent="0.25">
      <c r="A10" s="130" t="s">
        <v>29</v>
      </c>
      <c r="B10" s="130" t="s">
        <v>237</v>
      </c>
      <c r="C10" s="130" t="s">
        <v>16</v>
      </c>
      <c r="E10" s="130" t="s">
        <v>325</v>
      </c>
      <c r="F10" s="130">
        <v>13</v>
      </c>
      <c r="G10" s="131">
        <v>1800</v>
      </c>
      <c r="H10" s="132">
        <f>Tablo5[[#This Row],[GÜN
TEK]]*Tablo5[[#This Row],[TUTAR]]</f>
        <v>23400</v>
      </c>
      <c r="I10" s="132">
        <f>Tablo5[[#This Row],[TOPLAM]]*0.2</f>
        <v>4680</v>
      </c>
      <c r="J10" s="132">
        <f>SUM(Tablo5[[#This Row],[TOPLAM]:[0,20%]])</f>
        <v>28080</v>
      </c>
      <c r="K10" s="132">
        <f>Tablo5[[#This Row],[TOPLAM]]*0.1</f>
        <v>2340</v>
      </c>
      <c r="L10" s="132">
        <f>Tablo5[[#This Row],[TOPLAM]]+Tablo5[[#This Row],[0,20%]]-Tablo5[[#This Row],[0,10%]]</f>
        <v>25740</v>
      </c>
    </row>
    <row r="11" spans="1:12" hidden="1" x14ac:dyDescent="0.25">
      <c r="A11" s="130" t="s">
        <v>29</v>
      </c>
      <c r="B11" s="130" t="s">
        <v>335</v>
      </c>
      <c r="C11" s="130" t="s">
        <v>16</v>
      </c>
      <c r="D11" s="170"/>
      <c r="E11" s="130" t="s">
        <v>10</v>
      </c>
      <c r="H11" s="132">
        <f>Tablo5[[#This Row],[GÜN
TEK]]*Tablo5[[#This Row],[TUTAR]]</f>
        <v>0</v>
      </c>
      <c r="I11" s="132">
        <f>Tablo5[[#This Row],[TOPLAM]]*0.2</f>
        <v>0</v>
      </c>
      <c r="J11" s="132">
        <f>SUM(Tablo5[[#This Row],[TOPLAM]:[0,20%]])</f>
        <v>0</v>
      </c>
      <c r="K11" s="132">
        <f>Tablo5[[#This Row],[TOPLAM]]*0.1</f>
        <v>0</v>
      </c>
      <c r="L11" s="132">
        <f>Tablo5[[#This Row],[TOPLAM]]+Tablo5[[#This Row],[0,20%]]-Tablo5[[#This Row],[0,10%]]</f>
        <v>0</v>
      </c>
    </row>
    <row r="12" spans="1:12" hidden="1" x14ac:dyDescent="0.25">
      <c r="A12" s="130" t="s">
        <v>29</v>
      </c>
      <c r="B12" s="130" t="s">
        <v>336</v>
      </c>
      <c r="C12" s="130" t="s">
        <v>15</v>
      </c>
      <c r="E12" s="130" t="s">
        <v>325</v>
      </c>
      <c r="F12" s="130">
        <v>13</v>
      </c>
      <c r="G12" s="131">
        <v>1800</v>
      </c>
      <c r="H12" s="132">
        <f>Tablo5[[#This Row],[GÜN
TEK]]*Tablo5[[#This Row],[TUTAR]]</f>
        <v>23400</v>
      </c>
      <c r="J12" s="132">
        <f>SUM(Tablo5[[#This Row],[TOPLAM]:[0,20%]])</f>
        <v>23400</v>
      </c>
      <c r="L12" s="132">
        <f>Tablo5[[#This Row],[TOPLAM]]+Tablo5[[#This Row],[0,20%]]-Tablo5[[#This Row],[0,10%]]</f>
        <v>23400</v>
      </c>
    </row>
    <row r="13" spans="1:12" hidden="1" x14ac:dyDescent="0.25"/>
    <row r="14" spans="1:12" hidden="1" x14ac:dyDescent="0.25">
      <c r="A14" s="130" t="s">
        <v>29</v>
      </c>
      <c r="B14" s="130" t="s">
        <v>337</v>
      </c>
      <c r="C14" s="130" t="s">
        <v>23</v>
      </c>
      <c r="E14" s="130" t="s">
        <v>325</v>
      </c>
      <c r="F14" s="130">
        <v>13</v>
      </c>
      <c r="G14" s="131">
        <v>1800</v>
      </c>
      <c r="H14" s="132">
        <f>Tablo5[[#This Row],[GÜN
TEK]]*Tablo5[[#This Row],[TUTAR]]</f>
        <v>23400</v>
      </c>
      <c r="I14" s="132">
        <f>Tablo5[[#This Row],[TOPLAM]]*0.2</f>
        <v>4680</v>
      </c>
      <c r="J14" s="132">
        <f>SUM(Tablo5[[#This Row],[TOPLAM]:[0,20%]])</f>
        <v>28080</v>
      </c>
      <c r="K14" s="132">
        <f>Tablo5[[#This Row],[TOPLAM]]*0.1</f>
        <v>2340</v>
      </c>
      <c r="L14" s="132">
        <f>Tablo5[[#This Row],[TOPLAM]]+Tablo5[[#This Row],[0,20%]]-Tablo5[[#This Row],[0,10%]]</f>
        <v>25740</v>
      </c>
    </row>
    <row r="15" spans="1:12" hidden="1" x14ac:dyDescent="0.25">
      <c r="A15" s="130" t="s">
        <v>29</v>
      </c>
      <c r="B15" s="130" t="s">
        <v>338</v>
      </c>
      <c r="C15" s="130" t="s">
        <v>23</v>
      </c>
      <c r="E15" s="130" t="s">
        <v>10</v>
      </c>
      <c r="H15" s="132">
        <f>Tablo5[[#This Row],[GÜN
TEK]]*Tablo5[[#This Row],[TUTAR]]</f>
        <v>0</v>
      </c>
      <c r="I15" s="132">
        <f>Tablo5[[#This Row],[TOPLAM]]*0.2</f>
        <v>0</v>
      </c>
      <c r="J15" s="132">
        <f>SUM(Tablo5[[#This Row],[TOPLAM]:[0,20%]])</f>
        <v>0</v>
      </c>
      <c r="K15" s="132">
        <f>Tablo5[[#This Row],[TOPLAM]]*0.1</f>
        <v>0</v>
      </c>
      <c r="L15" s="132">
        <f>Tablo5[[#This Row],[TOPLAM]]+Tablo5[[#This Row],[0,20%]]-Tablo5[[#This Row],[0,10%]]</f>
        <v>0</v>
      </c>
    </row>
    <row r="16" spans="1:12" hidden="1" x14ac:dyDescent="0.25">
      <c r="A16" s="130" t="s">
        <v>29</v>
      </c>
      <c r="B16" s="130" t="s">
        <v>339</v>
      </c>
      <c r="C16" s="130" t="s">
        <v>18</v>
      </c>
      <c r="E16" s="130" t="s">
        <v>325</v>
      </c>
      <c r="F16" s="130">
        <v>19</v>
      </c>
      <c r="G16" s="131">
        <v>2750</v>
      </c>
      <c r="H16" s="132">
        <f>Tablo5[[#This Row],[GÜN
TEK]]*Tablo5[[#This Row],[TUTAR]]</f>
        <v>52250</v>
      </c>
      <c r="I16" s="132">
        <f>Tablo5[[#This Row],[TOPLAM]]*0.2</f>
        <v>10450</v>
      </c>
      <c r="J16" s="132">
        <f>SUM(Tablo5[[#This Row],[TOPLAM]:[0,20%]])</f>
        <v>62700</v>
      </c>
      <c r="K16" s="132">
        <f>Tablo5[[#This Row],[TOPLAM]]*0.1</f>
        <v>5225</v>
      </c>
      <c r="L16" s="132">
        <f>Tablo5[[#This Row],[TOPLAM]]+Tablo5[[#This Row],[0,20%]]-Tablo5[[#This Row],[0,10%]]</f>
        <v>57475</v>
      </c>
    </row>
    <row r="17" spans="1:12" hidden="1" x14ac:dyDescent="0.25">
      <c r="A17" s="130" t="s">
        <v>29</v>
      </c>
      <c r="B17" s="130" t="s">
        <v>335</v>
      </c>
      <c r="C17" s="130" t="s">
        <v>18</v>
      </c>
      <c r="E17" s="130" t="s">
        <v>10</v>
      </c>
      <c r="H17" s="132">
        <f>Tablo5[[#This Row],[GÜN
TEK]]*Tablo5[[#This Row],[TUTAR]]</f>
        <v>0</v>
      </c>
      <c r="I17" s="132">
        <f>Tablo5[[#This Row],[TOPLAM]]*0.2</f>
        <v>0</v>
      </c>
      <c r="J17" s="132">
        <f>SUM(Tablo5[[#This Row],[TOPLAM]:[0,20%]])</f>
        <v>0</v>
      </c>
      <c r="K17" s="132">
        <f>Tablo5[[#This Row],[TOPLAM]]*0.1</f>
        <v>0</v>
      </c>
      <c r="L17" s="132">
        <f>Tablo5[[#This Row],[TOPLAM]]+Tablo5[[#This Row],[0,20%]]-Tablo5[[#This Row],[0,10%]]</f>
        <v>0</v>
      </c>
    </row>
    <row r="18" spans="1:12" hidden="1" x14ac:dyDescent="0.25">
      <c r="A18" s="130" t="s">
        <v>29</v>
      </c>
      <c r="B18" s="130" t="s">
        <v>340</v>
      </c>
      <c r="C18" s="130" t="s">
        <v>19</v>
      </c>
      <c r="E18" s="130" t="s">
        <v>325</v>
      </c>
      <c r="F18" s="130">
        <v>18</v>
      </c>
      <c r="G18" s="131">
        <v>1800</v>
      </c>
      <c r="H18" s="132">
        <f>Tablo5[[#This Row],[GÜN
TEK]]*Tablo5[[#This Row],[TUTAR]]</f>
        <v>32400</v>
      </c>
      <c r="J18" s="132">
        <f>SUM(Tablo5[[#This Row],[TOPLAM]:[0,20%]])</f>
        <v>32400</v>
      </c>
      <c r="L18" s="132">
        <f>Tablo5[[#This Row],[TOPLAM]]+Tablo5[[#This Row],[0,20%]]-Tablo5[[#This Row],[0,10%]]</f>
        <v>32400</v>
      </c>
    </row>
    <row r="19" spans="1:12" hidden="1" x14ac:dyDescent="0.25">
      <c r="A19" s="130" t="s">
        <v>29</v>
      </c>
      <c r="B19" s="130" t="s">
        <v>341</v>
      </c>
      <c r="C19" s="130" t="s">
        <v>342</v>
      </c>
      <c r="E19" s="130" t="s">
        <v>325</v>
      </c>
      <c r="F19" s="130">
        <v>17</v>
      </c>
      <c r="G19" s="131">
        <v>2000</v>
      </c>
      <c r="H19" s="132">
        <f>Tablo5[[#This Row],[GÜN
TEK]]*Tablo5[[#This Row],[TUTAR]]</f>
        <v>34000</v>
      </c>
      <c r="I19" s="132">
        <f>Tablo5[[#This Row],[TOPLAM]]*0.2</f>
        <v>6800</v>
      </c>
      <c r="J19" s="132">
        <f>SUM(Tablo5[[#This Row],[TOPLAM]:[0,20%]])</f>
        <v>40800</v>
      </c>
      <c r="K19" s="132">
        <f>Tablo5[[#This Row],[TOPLAM]]*0.1</f>
        <v>3400</v>
      </c>
      <c r="L19" s="132">
        <f>Tablo5[[#This Row],[TOPLAM]]+Tablo5[[#This Row],[0,20%]]-Tablo5[[#This Row],[0,10%]]</f>
        <v>37400</v>
      </c>
    </row>
    <row r="20" spans="1:12" hidden="1" x14ac:dyDescent="0.25">
      <c r="A20" s="130" t="s">
        <v>29</v>
      </c>
      <c r="B20" s="130" t="s">
        <v>335</v>
      </c>
      <c r="C20" s="130" t="s">
        <v>342</v>
      </c>
      <c r="E20" s="130" t="s">
        <v>10</v>
      </c>
      <c r="H20" s="132">
        <f>Tablo5[[#This Row],[GÜN
TEK]]*Tablo5[[#This Row],[TUTAR]]</f>
        <v>0</v>
      </c>
      <c r="I20" s="132">
        <f>Tablo5[[#This Row],[TOPLAM]]*0.2</f>
        <v>0</v>
      </c>
      <c r="J20" s="132">
        <f>SUM(Tablo5[[#This Row],[TOPLAM]:[0,20%]])</f>
        <v>0</v>
      </c>
      <c r="K20" s="132">
        <f>Tablo5[[#This Row],[TOPLAM]]*0.1</f>
        <v>0</v>
      </c>
      <c r="L20" s="132">
        <f>Tablo5[[#This Row],[TOPLAM]]+Tablo5[[#This Row],[0,20%]]-Tablo5[[#This Row],[0,10%]]</f>
        <v>0</v>
      </c>
    </row>
    <row r="21" spans="1:12" hidden="1" x14ac:dyDescent="0.25">
      <c r="A21" s="130" t="s">
        <v>29</v>
      </c>
      <c r="B21" s="130" t="s">
        <v>343</v>
      </c>
      <c r="C21" s="130" t="s">
        <v>344</v>
      </c>
      <c r="E21" s="130" t="s">
        <v>325</v>
      </c>
      <c r="F21" s="130">
        <v>13</v>
      </c>
      <c r="G21" s="131">
        <v>2000</v>
      </c>
      <c r="H21" s="132">
        <f>Tablo5[[#This Row],[GÜN
TEK]]*Tablo5[[#This Row],[TUTAR]]</f>
        <v>26000</v>
      </c>
      <c r="I21" s="132">
        <f>Tablo5[[#This Row],[TOPLAM]]*0.2</f>
        <v>5200</v>
      </c>
      <c r="J21" s="132">
        <f>SUM(Tablo5[[#This Row],[TOPLAM]:[0,20%]])</f>
        <v>31200</v>
      </c>
      <c r="K21" s="132">
        <f>Tablo5[[#This Row],[TOPLAM]]*0.1</f>
        <v>2600</v>
      </c>
      <c r="L21" s="132">
        <f>Tablo5[[#This Row],[TOPLAM]]+Tablo5[[#This Row],[0,20%]]-Tablo5[[#This Row],[0,10%]]</f>
        <v>28600</v>
      </c>
    </row>
    <row r="22" spans="1:12" hidden="1" x14ac:dyDescent="0.25">
      <c r="A22" s="130" t="s">
        <v>29</v>
      </c>
      <c r="B22" s="130" t="s">
        <v>345</v>
      </c>
      <c r="C22" s="130" t="s">
        <v>351</v>
      </c>
      <c r="E22" s="130" t="s">
        <v>325</v>
      </c>
      <c r="F22" s="130">
        <v>14</v>
      </c>
      <c r="G22" s="131">
        <v>2600</v>
      </c>
      <c r="H22" s="132">
        <f>Tablo5[[#This Row],[GÜN
TEK]]*Tablo5[[#This Row],[TUTAR]]</f>
        <v>36400</v>
      </c>
      <c r="I22" s="132">
        <f>Tablo5[[#This Row],[TOPLAM]]*0.2</f>
        <v>7280</v>
      </c>
      <c r="J22" s="132">
        <f>SUM(Tablo5[[#This Row],[TOPLAM]:[0,20%]])</f>
        <v>43680</v>
      </c>
      <c r="K22" s="132">
        <f>Tablo5[[#This Row],[TOPLAM]]*0.1</f>
        <v>3640</v>
      </c>
      <c r="L22" s="132">
        <f>Tablo5[[#This Row],[TOPLAM]]+Tablo5[[#This Row],[0,20%]]-Tablo5[[#This Row],[0,10%]]</f>
        <v>40040</v>
      </c>
    </row>
    <row r="23" spans="1:12" hidden="1" x14ac:dyDescent="0.25">
      <c r="A23" s="130" t="s">
        <v>29</v>
      </c>
      <c r="B23" s="130" t="s">
        <v>346</v>
      </c>
      <c r="C23" s="130" t="s">
        <v>347</v>
      </c>
      <c r="E23" s="130" t="s">
        <v>325</v>
      </c>
      <c r="F23" s="130">
        <v>13</v>
      </c>
      <c r="G23" s="131">
        <v>1800</v>
      </c>
      <c r="H23" s="132">
        <f>Tablo5[[#This Row],[GÜN
TEK]]*Tablo5[[#This Row],[TUTAR]]</f>
        <v>23400</v>
      </c>
      <c r="I23" s="132">
        <f>Tablo5[[#This Row],[TOPLAM]]*0.2</f>
        <v>4680</v>
      </c>
      <c r="J23" s="132">
        <f>SUM(Tablo5[[#This Row],[TOPLAM]:[0,20%]])</f>
        <v>28080</v>
      </c>
      <c r="K23" s="132">
        <f>Tablo5[[#This Row],[TOPLAM]]*0.1</f>
        <v>2340</v>
      </c>
      <c r="L23" s="132">
        <f>Tablo5[[#This Row],[TOPLAM]]+Tablo5[[#This Row],[0,20%]]-Tablo5[[#This Row],[0,10%]]</f>
        <v>25740</v>
      </c>
    </row>
    <row r="24" spans="1:12" hidden="1" x14ac:dyDescent="0.25">
      <c r="A24" s="130" t="s">
        <v>29</v>
      </c>
      <c r="B24" s="130" t="s">
        <v>348</v>
      </c>
      <c r="C24" s="130" t="s">
        <v>349</v>
      </c>
      <c r="E24" s="130" t="s">
        <v>325</v>
      </c>
      <c r="F24" s="130">
        <v>16.5</v>
      </c>
      <c r="G24" s="131">
        <v>1800</v>
      </c>
      <c r="H24" s="132">
        <f>Tablo5[[#This Row],[GÜN
TEK]]*Tablo5[[#This Row],[TUTAR]]</f>
        <v>29700</v>
      </c>
      <c r="I24" s="132">
        <f>Tablo5[[#This Row],[TOPLAM]]*0.2</f>
        <v>5940</v>
      </c>
      <c r="J24" s="132">
        <f>SUM(Tablo5[[#This Row],[TOPLAM]:[0,20%]])</f>
        <v>35640</v>
      </c>
      <c r="K24" s="132">
        <f>Tablo5[[#This Row],[TOPLAM]]*0.1</f>
        <v>2970</v>
      </c>
      <c r="L24" s="132">
        <f>Tablo5[[#This Row],[TOPLAM]]+Tablo5[[#This Row],[0,20%]]-Tablo5[[#This Row],[0,10%]]</f>
        <v>32670</v>
      </c>
    </row>
    <row r="25" spans="1:12" hidden="1" x14ac:dyDescent="0.25">
      <c r="A25" s="130" t="s">
        <v>29</v>
      </c>
      <c r="B25" s="130" t="s">
        <v>350</v>
      </c>
      <c r="C25" s="130" t="s">
        <v>349</v>
      </c>
      <c r="E25" s="130" t="s">
        <v>10</v>
      </c>
      <c r="H25" s="132">
        <f>Tablo5[[#This Row],[GÜN
TEK]]*Tablo5[[#This Row],[TUTAR]]</f>
        <v>0</v>
      </c>
      <c r="I25" s="132">
        <f>Tablo5[[#This Row],[TOPLAM]]*0.2</f>
        <v>0</v>
      </c>
      <c r="J25" s="132">
        <f>SUM(Tablo5[[#This Row],[TOPLAM]:[0,20%]])</f>
        <v>0</v>
      </c>
      <c r="K25" s="132">
        <f>Tablo5[[#This Row],[TOPLAM]]*0.1</f>
        <v>0</v>
      </c>
      <c r="L25" s="132">
        <f>Tablo5[[#This Row],[TOPLAM]]+Tablo5[[#This Row],[0,20%]]-Tablo5[[#This Row],[0,10%]]</f>
        <v>0</v>
      </c>
    </row>
    <row r="26" spans="1:12" hidden="1" x14ac:dyDescent="0.25">
      <c r="A26" s="130" t="s">
        <v>29</v>
      </c>
      <c r="B26" s="130" t="s">
        <v>20</v>
      </c>
      <c r="C26" s="130" t="s">
        <v>21</v>
      </c>
      <c r="E26" s="130" t="s">
        <v>325</v>
      </c>
      <c r="F26" s="130">
        <v>17</v>
      </c>
      <c r="G26" s="131">
        <v>2500</v>
      </c>
      <c r="H26" s="132">
        <f>Tablo5[[#This Row],[GÜN
TEK]]*Tablo5[[#This Row],[TUTAR]]</f>
        <v>42500</v>
      </c>
      <c r="I26" s="132">
        <f>Tablo5[[#This Row],[TOPLAM]]*0.2</f>
        <v>8500</v>
      </c>
      <c r="J26" s="132">
        <f>SUM(Tablo5[[#This Row],[TOPLAM]:[0,20%]])</f>
        <v>51000</v>
      </c>
      <c r="K26" s="132">
        <f>Tablo5[[#This Row],[TOPLAM]]*0.1</f>
        <v>4250</v>
      </c>
      <c r="L26" s="132">
        <f>Tablo5[[#This Row],[TOPLAM]]+Tablo5[[#This Row],[0,20%]]-Tablo5[[#This Row],[0,10%]]</f>
        <v>46750</v>
      </c>
    </row>
    <row r="27" spans="1:12" hidden="1" x14ac:dyDescent="0.25">
      <c r="A27" s="130" t="s">
        <v>29</v>
      </c>
      <c r="B27" s="130" t="s">
        <v>22</v>
      </c>
      <c r="C27" s="130" t="s">
        <v>21</v>
      </c>
      <c r="E27" s="130" t="s">
        <v>10</v>
      </c>
      <c r="H27" s="132">
        <f>Tablo5[[#This Row],[GÜN
TEK]]*Tablo5[[#This Row],[TUTAR]]</f>
        <v>0</v>
      </c>
      <c r="I27" s="132">
        <f>Tablo5[[#This Row],[TOPLAM]]*0.2</f>
        <v>0</v>
      </c>
      <c r="J27" s="132">
        <f>SUM(Tablo5[[#This Row],[TOPLAM]:[0,20%]])</f>
        <v>0</v>
      </c>
      <c r="K27" s="132">
        <f>Tablo5[[#This Row],[TOPLAM]]*0.1</f>
        <v>0</v>
      </c>
      <c r="L27" s="132">
        <f>Tablo5[[#This Row],[TOPLAM]]+Tablo5[[#This Row],[0,20%]]-Tablo5[[#This Row],[0,10%]]</f>
        <v>0</v>
      </c>
    </row>
    <row r="28" spans="1:12" hidden="1" x14ac:dyDescent="0.25">
      <c r="A28" s="130" t="s">
        <v>29</v>
      </c>
      <c r="B28" s="130" t="s">
        <v>352</v>
      </c>
      <c r="C28" s="130" t="s">
        <v>351</v>
      </c>
      <c r="E28" s="130" t="s">
        <v>325</v>
      </c>
      <c r="G28" s="131">
        <v>1800</v>
      </c>
      <c r="H28" s="132">
        <f>Tablo5[[#This Row],[GÜN
TEK]]*Tablo5[[#This Row],[TUTAR]]</f>
        <v>0</v>
      </c>
      <c r="I28" s="132">
        <f>Tablo5[[#This Row],[TOPLAM]]*0.2</f>
        <v>0</v>
      </c>
      <c r="J28" s="132">
        <f>SUM(Tablo5[[#This Row],[TOPLAM]:[0,20%]])</f>
        <v>0</v>
      </c>
      <c r="K28" s="132">
        <f>Tablo5[[#This Row],[TOPLAM]]*0.1</f>
        <v>0</v>
      </c>
      <c r="L28" s="132">
        <f>Tablo5[[#This Row],[TOPLAM]]+Tablo5[[#This Row],[0,20%]]-Tablo5[[#This Row],[0,10%]]</f>
        <v>0</v>
      </c>
    </row>
    <row r="29" spans="1:12" hidden="1" x14ac:dyDescent="0.25">
      <c r="A29" s="130" t="s">
        <v>29</v>
      </c>
      <c r="B29" s="130" t="s">
        <v>353</v>
      </c>
      <c r="C29" s="130" t="s">
        <v>14</v>
      </c>
      <c r="E29" s="130" t="s">
        <v>325</v>
      </c>
      <c r="F29" s="130">
        <v>13</v>
      </c>
      <c r="G29" s="131">
        <v>1800</v>
      </c>
      <c r="H29" s="132">
        <f>Tablo5[[#This Row],[GÜN
TEK]]*Tablo5[[#This Row],[TUTAR]]</f>
        <v>23400</v>
      </c>
      <c r="I29" s="132">
        <f>Tablo5[[#This Row],[TOPLAM]]*0.2</f>
        <v>4680</v>
      </c>
      <c r="J29" s="132">
        <f>SUM(Tablo5[[#This Row],[TOPLAM]:[0,20%]])</f>
        <v>28080</v>
      </c>
      <c r="K29" s="132">
        <f>Tablo5[[#This Row],[TOPLAM]]*0.1</f>
        <v>2340</v>
      </c>
      <c r="L29" s="132">
        <f>Tablo5[[#This Row],[TOPLAM]]+Tablo5[[#This Row],[0,20%]]-Tablo5[[#This Row],[0,10%]]</f>
        <v>25740</v>
      </c>
    </row>
    <row r="30" spans="1:12" hidden="1" x14ac:dyDescent="0.25">
      <c r="A30" s="130" t="s">
        <v>29</v>
      </c>
      <c r="B30" s="130" t="s">
        <v>10</v>
      </c>
      <c r="C30" s="130" t="s">
        <v>14</v>
      </c>
      <c r="E30" s="130" t="s">
        <v>10</v>
      </c>
      <c r="H30" s="132">
        <f>Tablo5[[#This Row],[GÜN
TEK]]*Tablo5[[#This Row],[TUTAR]]</f>
        <v>0</v>
      </c>
      <c r="I30" s="132">
        <f>Tablo5[[#This Row],[TOPLAM]]*0.2</f>
        <v>0</v>
      </c>
      <c r="J30" s="132">
        <f>SUM(Tablo5[[#This Row],[TOPLAM]:[0,20%]])</f>
        <v>0</v>
      </c>
      <c r="K30" s="132">
        <f>Tablo5[[#This Row],[TOPLAM]]*0.1</f>
        <v>0</v>
      </c>
      <c r="L30" s="132">
        <f>Tablo5[[#This Row],[TOPLAM]]+Tablo5[[#This Row],[0,20%]]-Tablo5[[#This Row],[0,10%]]</f>
        <v>0</v>
      </c>
    </row>
    <row r="31" spans="1:12" hidden="1" x14ac:dyDescent="0.25">
      <c r="A31" s="130" t="s">
        <v>29</v>
      </c>
      <c r="B31" s="130" t="s">
        <v>354</v>
      </c>
      <c r="C31" s="130" t="s">
        <v>24</v>
      </c>
      <c r="E31" s="130" t="s">
        <v>325</v>
      </c>
      <c r="F31" s="130">
        <v>13</v>
      </c>
      <c r="G31" s="131">
        <v>1800</v>
      </c>
      <c r="H31" s="132">
        <f>Tablo5[[#This Row],[GÜN
TEK]]*Tablo5[[#This Row],[TUTAR]]</f>
        <v>23400</v>
      </c>
      <c r="I31" s="132">
        <f>Tablo5[[#This Row],[TOPLAM]]*0.2</f>
        <v>4680</v>
      </c>
      <c r="J31" s="132">
        <f>SUM(Tablo5[[#This Row],[TOPLAM]:[0,20%]])</f>
        <v>28080</v>
      </c>
      <c r="K31" s="132">
        <f>Tablo5[[#This Row],[TOPLAM]]*0.1</f>
        <v>2340</v>
      </c>
      <c r="L31" s="132">
        <f>Tablo5[[#This Row],[TOPLAM]]+Tablo5[[#This Row],[0,20%]]-Tablo5[[#This Row],[0,10%]]</f>
        <v>25740</v>
      </c>
    </row>
    <row r="32" spans="1:12" hidden="1" x14ac:dyDescent="0.25">
      <c r="A32" s="130" t="s">
        <v>29</v>
      </c>
      <c r="B32" s="130" t="s">
        <v>25</v>
      </c>
      <c r="C32" s="130" t="s">
        <v>23</v>
      </c>
      <c r="E32" s="130" t="s">
        <v>325</v>
      </c>
      <c r="F32" s="130">
        <v>10.5</v>
      </c>
      <c r="G32" s="131">
        <v>2300</v>
      </c>
      <c r="H32" s="132">
        <f>Tablo5[[#This Row],[GÜN
TEK]]*Tablo5[[#This Row],[TUTAR]]</f>
        <v>24150</v>
      </c>
      <c r="I32" s="132">
        <f>Tablo5[[#This Row],[TOPLAM]]*0.2</f>
        <v>4830</v>
      </c>
      <c r="J32" s="132">
        <f>SUM(Tablo5[[#This Row],[TOPLAM]:[0,20%]])</f>
        <v>28980</v>
      </c>
      <c r="K32" s="132">
        <f>Tablo5[[#This Row],[TOPLAM]]*0.1</f>
        <v>2415</v>
      </c>
      <c r="L32" s="132">
        <f>Tablo5[[#This Row],[TOPLAM]]+Tablo5[[#This Row],[0,20%]]-Tablo5[[#This Row],[0,10%]]</f>
        <v>26565</v>
      </c>
    </row>
    <row r="33" spans="1:12" hidden="1" x14ac:dyDescent="0.25">
      <c r="A33" s="130" t="s">
        <v>29</v>
      </c>
      <c r="B33" s="130" t="s">
        <v>355</v>
      </c>
      <c r="C33" s="130" t="s">
        <v>46</v>
      </c>
      <c r="E33" s="130" t="s">
        <v>325</v>
      </c>
      <c r="F33" s="130">
        <v>13</v>
      </c>
      <c r="G33" s="131">
        <v>1800</v>
      </c>
      <c r="H33" s="132">
        <f>Tablo5[[#This Row],[GÜN
TEK]]*Tablo5[[#This Row],[TUTAR]]</f>
        <v>23400</v>
      </c>
      <c r="I33" s="132">
        <f>Tablo5[[#This Row],[TOPLAM]]*0.2</f>
        <v>4680</v>
      </c>
      <c r="J33" s="132">
        <f>SUM(Tablo5[[#This Row],[TOPLAM]:[0,20%]])</f>
        <v>28080</v>
      </c>
      <c r="K33" s="132">
        <f>Tablo5[[#This Row],[TOPLAM]]*0.1</f>
        <v>2340</v>
      </c>
      <c r="L33" s="132">
        <f>Tablo5[[#This Row],[TOPLAM]]+Tablo5[[#This Row],[0,20%]]-Tablo5[[#This Row],[0,10%]]</f>
        <v>25740</v>
      </c>
    </row>
    <row r="34" spans="1:12" hidden="1" x14ac:dyDescent="0.25">
      <c r="A34" s="130" t="s">
        <v>29</v>
      </c>
      <c r="B34" s="130" t="s">
        <v>50</v>
      </c>
      <c r="C34" s="130" t="s">
        <v>27</v>
      </c>
      <c r="E34" s="130" t="s">
        <v>325</v>
      </c>
      <c r="F34" s="130">
        <v>17</v>
      </c>
      <c r="G34" s="131">
        <v>2900</v>
      </c>
      <c r="H34" s="132">
        <f>Tablo5[[#This Row],[GÜN
TEK]]*Tablo5[[#This Row],[TUTAR]]</f>
        <v>49300</v>
      </c>
      <c r="I34" s="132">
        <f>Tablo5[[#This Row],[TOPLAM]]*0.2</f>
        <v>9860</v>
      </c>
      <c r="J34" s="132">
        <f>SUM(Tablo5[[#This Row],[TOPLAM]:[0,20%]])</f>
        <v>59160</v>
      </c>
      <c r="K34" s="132">
        <f>Tablo5[[#This Row],[TOPLAM]]*0.1</f>
        <v>4930</v>
      </c>
      <c r="L34" s="132">
        <f>Tablo5[[#This Row],[TOPLAM]]+Tablo5[[#This Row],[0,20%]]-Tablo5[[#This Row],[0,10%]]</f>
        <v>54230</v>
      </c>
    </row>
    <row r="35" spans="1:12" hidden="1" x14ac:dyDescent="0.25">
      <c r="A35" s="130" t="s">
        <v>29</v>
      </c>
      <c r="B35" s="130" t="s">
        <v>10</v>
      </c>
      <c r="C35" s="130" t="s">
        <v>27</v>
      </c>
      <c r="E35" s="130" t="s">
        <v>10</v>
      </c>
      <c r="H35" s="132">
        <f>Tablo5[[#This Row],[GÜN
TEK]]*Tablo5[[#This Row],[TUTAR]]</f>
        <v>0</v>
      </c>
      <c r="I35" s="132">
        <f>Tablo5[[#This Row],[TOPLAM]]*0.2</f>
        <v>0</v>
      </c>
      <c r="J35" s="132">
        <f>SUM(Tablo5[[#This Row],[TOPLAM]:[0,20%]])</f>
        <v>0</v>
      </c>
      <c r="K35" s="132">
        <f>Tablo5[[#This Row],[TOPLAM]]*0.1</f>
        <v>0</v>
      </c>
      <c r="L35" s="132">
        <f>Tablo5[[#This Row],[TOPLAM]]+Tablo5[[#This Row],[0,20%]]-Tablo5[[#This Row],[0,10%]]</f>
        <v>0</v>
      </c>
    </row>
    <row r="36" spans="1:12" hidden="1" x14ac:dyDescent="0.25">
      <c r="A36" s="130" t="s">
        <v>29</v>
      </c>
      <c r="B36" s="130" t="s">
        <v>356</v>
      </c>
      <c r="C36" s="130" t="s">
        <v>46</v>
      </c>
      <c r="E36" s="130" t="s">
        <v>325</v>
      </c>
      <c r="F36" s="130">
        <v>13</v>
      </c>
      <c r="G36" s="131">
        <v>1800</v>
      </c>
      <c r="H36" s="132">
        <f>Tablo5[[#This Row],[GÜN
TEK]]*Tablo5[[#This Row],[TUTAR]]</f>
        <v>23400</v>
      </c>
      <c r="I36" s="132">
        <f>Tablo5[[#This Row],[TOPLAM]]*0.2</f>
        <v>4680</v>
      </c>
      <c r="J36" s="132">
        <f>SUM(Tablo5[[#This Row],[TOPLAM]:[0,20%]])</f>
        <v>28080</v>
      </c>
      <c r="K36" s="132">
        <f>Tablo5[[#This Row],[TOPLAM]]*0.1</f>
        <v>2340</v>
      </c>
      <c r="L36" s="132">
        <f>Tablo5[[#This Row],[TOPLAM]]+Tablo5[[#This Row],[0,20%]]-Tablo5[[#This Row],[0,10%]]</f>
        <v>25740</v>
      </c>
    </row>
    <row r="37" spans="1:12" hidden="1" x14ac:dyDescent="0.25">
      <c r="A37" s="130" t="s">
        <v>29</v>
      </c>
      <c r="B37" s="130" t="s">
        <v>357</v>
      </c>
      <c r="C37" s="130" t="s">
        <v>358</v>
      </c>
      <c r="E37" s="130" t="s">
        <v>325</v>
      </c>
      <c r="F37" s="130">
        <v>13</v>
      </c>
      <c r="G37" s="131">
        <v>1800</v>
      </c>
      <c r="H37" s="132">
        <f>Tablo5[[#This Row],[GÜN
TEK]]*Tablo5[[#This Row],[TUTAR]]</f>
        <v>23400</v>
      </c>
      <c r="I37" s="132">
        <f>Tablo5[[#This Row],[TOPLAM]]*0.2</f>
        <v>4680</v>
      </c>
      <c r="J37" s="132">
        <f>SUM(Tablo5[[#This Row],[TOPLAM]:[0,20%]])</f>
        <v>28080</v>
      </c>
      <c r="K37" s="132">
        <f>Tablo5[[#This Row],[TOPLAM]]*0.1</f>
        <v>2340</v>
      </c>
      <c r="L37" s="132">
        <f>Tablo5[[#This Row],[TOPLAM]]+Tablo5[[#This Row],[0,20%]]-Tablo5[[#This Row],[0,10%]]</f>
        <v>25740</v>
      </c>
    </row>
    <row r="38" spans="1:12" hidden="1" x14ac:dyDescent="0.25">
      <c r="A38" s="130" t="s">
        <v>29</v>
      </c>
      <c r="B38" s="130" t="s">
        <v>359</v>
      </c>
      <c r="C38" s="130" t="s">
        <v>360</v>
      </c>
      <c r="E38" s="130" t="s">
        <v>325</v>
      </c>
      <c r="F38" s="130">
        <v>13</v>
      </c>
      <c r="G38" s="131">
        <v>1800</v>
      </c>
      <c r="H38" s="132">
        <f>Tablo5[[#This Row],[GÜN
TEK]]*Tablo5[[#This Row],[TUTAR]]</f>
        <v>23400</v>
      </c>
      <c r="J38" s="132">
        <f>SUM(Tablo5[[#This Row],[TOPLAM]:[0,20%]])</f>
        <v>23400</v>
      </c>
      <c r="L38" s="132">
        <f>Tablo5[[#This Row],[TOPLAM]]+Tablo5[[#This Row],[0,20%]]-Tablo5[[#This Row],[0,10%]]</f>
        <v>23400</v>
      </c>
    </row>
    <row r="39" spans="1:12" hidden="1" x14ac:dyDescent="0.25">
      <c r="A39" s="130" t="s">
        <v>29</v>
      </c>
      <c r="B39" s="130" t="s">
        <v>361</v>
      </c>
      <c r="C39" s="130" t="s">
        <v>21</v>
      </c>
      <c r="E39" s="130" t="s">
        <v>325</v>
      </c>
      <c r="F39" s="130">
        <v>14</v>
      </c>
      <c r="G39" s="131">
        <v>2500</v>
      </c>
      <c r="H39" s="132">
        <f>Tablo5[[#This Row],[GÜN
TEK]]*Tablo5[[#This Row],[TUTAR]]</f>
        <v>35000</v>
      </c>
      <c r="I39" s="132">
        <f>Tablo5[[#This Row],[TOPLAM]]*0.2</f>
        <v>7000</v>
      </c>
      <c r="J39" s="132">
        <f>SUM(Tablo5[[#This Row],[TOPLAM]:[0,20%]])</f>
        <v>42000</v>
      </c>
      <c r="K39" s="132">
        <f>Tablo5[[#This Row],[TOPLAM]]*0.1</f>
        <v>3500</v>
      </c>
      <c r="L39" s="132">
        <f>Tablo5[[#This Row],[TOPLAM]]+Tablo5[[#This Row],[0,20%]]-Tablo5[[#This Row],[0,10%]]</f>
        <v>38500</v>
      </c>
    </row>
    <row r="40" spans="1:12" hidden="1" x14ac:dyDescent="0.25">
      <c r="A40" s="130" t="s">
        <v>29</v>
      </c>
      <c r="B40" s="130" t="s">
        <v>362</v>
      </c>
      <c r="C40" s="130" t="s">
        <v>21</v>
      </c>
      <c r="E40" s="130" t="s">
        <v>10</v>
      </c>
      <c r="H40" s="132">
        <f>Tablo5[[#This Row],[GÜN
TEK]]*Tablo5[[#This Row],[TUTAR]]</f>
        <v>0</v>
      </c>
      <c r="I40" s="132">
        <f>Tablo5[[#This Row],[TOPLAM]]*0.2</f>
        <v>0</v>
      </c>
      <c r="J40" s="132">
        <f>SUM(Tablo5[[#This Row],[TOPLAM]:[0,20%]])</f>
        <v>0</v>
      </c>
      <c r="K40" s="132">
        <f>Tablo5[[#This Row],[TOPLAM]]*0.1</f>
        <v>0</v>
      </c>
      <c r="L40" s="132">
        <f>Tablo5[[#This Row],[TOPLAM]]+Tablo5[[#This Row],[0,20%]]-Tablo5[[#This Row],[0,10%]]</f>
        <v>0</v>
      </c>
    </row>
    <row r="41" spans="1:12" hidden="1" x14ac:dyDescent="0.25">
      <c r="A41" s="130" t="s">
        <v>29</v>
      </c>
      <c r="B41" s="130" t="s">
        <v>363</v>
      </c>
      <c r="C41" s="130" t="s">
        <v>364</v>
      </c>
      <c r="E41" s="130" t="s">
        <v>325</v>
      </c>
      <c r="F41" s="130">
        <v>17</v>
      </c>
      <c r="G41" s="131">
        <v>2650</v>
      </c>
      <c r="H41" s="132">
        <f>Tablo5[[#This Row],[GÜN
TEK]]*Tablo5[[#This Row],[TUTAR]]</f>
        <v>45050</v>
      </c>
      <c r="I41" s="132">
        <f>Tablo5[[#This Row],[TOPLAM]]*0.2</f>
        <v>9010</v>
      </c>
      <c r="J41" s="132">
        <f>SUM(Tablo5[[#This Row],[TOPLAM]:[0,20%]])</f>
        <v>54060</v>
      </c>
      <c r="K41" s="132">
        <f>Tablo5[[#This Row],[TOPLAM]]*0.1</f>
        <v>4505</v>
      </c>
      <c r="L41" s="132">
        <f>Tablo5[[#This Row],[TOPLAM]]+Tablo5[[#This Row],[0,20%]]-Tablo5[[#This Row],[0,10%]]</f>
        <v>49555</v>
      </c>
    </row>
    <row r="42" spans="1:12" hidden="1" x14ac:dyDescent="0.25">
      <c r="A42" s="130" t="s">
        <v>29</v>
      </c>
      <c r="B42" s="130" t="s">
        <v>10</v>
      </c>
      <c r="C42" s="130" t="s">
        <v>364</v>
      </c>
      <c r="E42" s="130" t="s">
        <v>10</v>
      </c>
      <c r="H42" s="132">
        <f>Tablo5[[#This Row],[GÜN
TEK]]*Tablo5[[#This Row],[TUTAR]]</f>
        <v>0</v>
      </c>
      <c r="I42" s="132">
        <f>Tablo5[[#This Row],[TOPLAM]]*0.2</f>
        <v>0</v>
      </c>
      <c r="J42" s="132">
        <f>SUM(Tablo5[[#This Row],[TOPLAM]:[0,20%]])</f>
        <v>0</v>
      </c>
      <c r="K42" s="132">
        <f>Tablo5[[#This Row],[TOPLAM]]*0.1</f>
        <v>0</v>
      </c>
      <c r="L42" s="132">
        <f>Tablo5[[#This Row],[TOPLAM]]+Tablo5[[#This Row],[0,20%]]-Tablo5[[#This Row],[0,10%]]</f>
        <v>0</v>
      </c>
    </row>
    <row r="43" spans="1:12" hidden="1" x14ac:dyDescent="0.25">
      <c r="A43" s="130" t="s">
        <v>29</v>
      </c>
      <c r="B43" s="130" t="s">
        <v>365</v>
      </c>
      <c r="C43" s="130" t="s">
        <v>351</v>
      </c>
      <c r="E43" s="130" t="s">
        <v>325</v>
      </c>
      <c r="G43" s="131">
        <v>1800</v>
      </c>
      <c r="H43" s="132">
        <f>Tablo5[[#This Row],[GÜN
TEK]]*Tablo5[[#This Row],[TUTAR]]</f>
        <v>0</v>
      </c>
      <c r="I43" s="132">
        <f>Tablo5[[#This Row],[TOPLAM]]*0.2</f>
        <v>0</v>
      </c>
      <c r="J43" s="132">
        <f>SUM(Tablo5[[#This Row],[TOPLAM]:[0,20%]])</f>
        <v>0</v>
      </c>
      <c r="K43" s="132">
        <f>Tablo5[[#This Row],[TOPLAM]]*0.1</f>
        <v>0</v>
      </c>
      <c r="L43" s="132">
        <f>Tablo5[[#This Row],[TOPLAM]]+Tablo5[[#This Row],[0,20%]]-Tablo5[[#This Row],[0,10%]]</f>
        <v>0</v>
      </c>
    </row>
    <row r="44" spans="1:12" hidden="1" x14ac:dyDescent="0.25">
      <c r="A44" s="130" t="s">
        <v>29</v>
      </c>
      <c r="B44" s="130" t="s">
        <v>211</v>
      </c>
      <c r="C44" s="130" t="s">
        <v>347</v>
      </c>
      <c r="E44" s="130" t="s">
        <v>325</v>
      </c>
      <c r="F44" s="130">
        <v>14</v>
      </c>
      <c r="G44" s="131">
        <v>2650</v>
      </c>
      <c r="H44" s="132">
        <f>Tablo5[[#This Row],[GÜN
TEK]]*Tablo5[[#This Row],[TUTAR]]</f>
        <v>37100</v>
      </c>
      <c r="I44" s="132">
        <f>Tablo5[[#This Row],[TOPLAM]]*0.2</f>
        <v>7420</v>
      </c>
      <c r="J44" s="132">
        <f>SUM(Tablo5[[#This Row],[TOPLAM]:[0,20%]])</f>
        <v>44520</v>
      </c>
      <c r="K44" s="132">
        <f>Tablo5[[#This Row],[TOPLAM]]*0.1</f>
        <v>3710</v>
      </c>
      <c r="L44" s="132">
        <f>Tablo5[[#This Row],[TOPLAM]]+Tablo5[[#This Row],[0,20%]]-Tablo5[[#This Row],[0,10%]]</f>
        <v>40810</v>
      </c>
    </row>
    <row r="45" spans="1:12" hidden="1" x14ac:dyDescent="0.25">
      <c r="A45" s="130" t="s">
        <v>29</v>
      </c>
      <c r="B45" s="130" t="s">
        <v>366</v>
      </c>
      <c r="C45" s="130" t="s">
        <v>311</v>
      </c>
      <c r="E45" s="130" t="s">
        <v>325</v>
      </c>
      <c r="F45" s="130">
        <v>15</v>
      </c>
      <c r="G45" s="131">
        <v>1800</v>
      </c>
      <c r="H45" s="132">
        <f>Tablo5[[#This Row],[GÜN
TEK]]*Tablo5[[#This Row],[TUTAR]]</f>
        <v>27000</v>
      </c>
      <c r="I45" s="132">
        <f>Tablo5[[#This Row],[TOPLAM]]*0.2</f>
        <v>5400</v>
      </c>
      <c r="J45" s="132">
        <f>SUM(Tablo5[[#This Row],[TOPLAM]:[0,20%]])</f>
        <v>32400</v>
      </c>
      <c r="K45" s="132">
        <f>Tablo5[[#This Row],[TOPLAM]]*0.1</f>
        <v>2700</v>
      </c>
      <c r="L45" s="132">
        <f>Tablo5[[#This Row],[TOPLAM]]+Tablo5[[#This Row],[0,20%]]-Tablo5[[#This Row],[0,10%]]</f>
        <v>29700</v>
      </c>
    </row>
    <row r="46" spans="1:12" hidden="1" x14ac:dyDescent="0.25">
      <c r="A46" s="130" t="s">
        <v>29</v>
      </c>
      <c r="B46" s="130" t="s">
        <v>367</v>
      </c>
      <c r="C46" s="130" t="s">
        <v>114</v>
      </c>
      <c r="E46" s="130" t="s">
        <v>325</v>
      </c>
      <c r="F46" s="130">
        <v>13</v>
      </c>
      <c r="G46" s="131">
        <v>3100</v>
      </c>
      <c r="H46" s="132">
        <f>Tablo5[[#This Row],[GÜN
TEK]]*Tablo5[[#This Row],[TUTAR]]</f>
        <v>40300</v>
      </c>
      <c r="I46" s="132">
        <f>Tablo5[[#This Row],[TOPLAM]]*0.2</f>
        <v>8060</v>
      </c>
      <c r="J46" s="132">
        <f>SUM(Tablo5[[#This Row],[TOPLAM]:[0,20%]])</f>
        <v>48360</v>
      </c>
      <c r="K46" s="132">
        <f>Tablo5[[#This Row],[TOPLAM]]*0.1</f>
        <v>4030</v>
      </c>
      <c r="L46" s="132">
        <f>Tablo5[[#This Row],[TOPLAM]]+Tablo5[[#This Row],[0,20%]]-Tablo5[[#This Row],[0,10%]]</f>
        <v>44330</v>
      </c>
    </row>
    <row r="47" spans="1:12" hidden="1" x14ac:dyDescent="0.25">
      <c r="A47" s="130" t="s">
        <v>29</v>
      </c>
      <c r="B47" s="130" t="s">
        <v>368</v>
      </c>
      <c r="C47" s="130" t="s">
        <v>163</v>
      </c>
      <c r="E47" s="130" t="s">
        <v>325</v>
      </c>
      <c r="F47" s="130">
        <v>13</v>
      </c>
      <c r="G47" s="131">
        <v>1800</v>
      </c>
      <c r="H47" s="132">
        <f>Tablo5[[#This Row],[GÜN
TEK]]*Tablo5[[#This Row],[TUTAR]]</f>
        <v>23400</v>
      </c>
      <c r="I47" s="132">
        <f>Tablo5[[#This Row],[TOPLAM]]*0.2</f>
        <v>4680</v>
      </c>
      <c r="J47" s="132">
        <f>SUM(Tablo5[[#This Row],[TOPLAM]:[0,20%]])</f>
        <v>28080</v>
      </c>
      <c r="K47" s="132">
        <f>Tablo5[[#This Row],[TOPLAM]]*0.1</f>
        <v>2340</v>
      </c>
      <c r="L47" s="132">
        <f>Tablo5[[#This Row],[TOPLAM]]+Tablo5[[#This Row],[0,20%]]-Tablo5[[#This Row],[0,10%]]</f>
        <v>25740</v>
      </c>
    </row>
    <row r="48" spans="1:12" hidden="1" x14ac:dyDescent="0.25">
      <c r="A48" s="130" t="s">
        <v>29</v>
      </c>
      <c r="B48" s="130" t="s">
        <v>369</v>
      </c>
      <c r="C48" s="130" t="s">
        <v>114</v>
      </c>
      <c r="E48" s="130" t="s">
        <v>28</v>
      </c>
      <c r="F48" s="130">
        <v>39</v>
      </c>
      <c r="G48" s="131">
        <v>900</v>
      </c>
      <c r="H48" s="132">
        <f>Tablo5[[#This Row],[GÜN
TEK]]*Tablo5[[#This Row],[TUTAR]]</f>
        <v>35100</v>
      </c>
      <c r="I48" s="132">
        <f>Tablo5[[#This Row],[TOPLAM]]*0.2</f>
        <v>7020</v>
      </c>
      <c r="J48" s="132">
        <f>SUM(Tablo5[[#This Row],[TOPLAM]:[0,20%]])</f>
        <v>42120</v>
      </c>
      <c r="K48" s="132">
        <f>Tablo5[[#This Row],[TOPLAM]]*0.1</f>
        <v>3510</v>
      </c>
      <c r="L48" s="132">
        <f>Tablo5[[#This Row],[TOPLAM]]+Tablo5[[#This Row],[0,20%]]-Tablo5[[#This Row],[0,10%]]</f>
        <v>38610</v>
      </c>
    </row>
    <row r="49" spans="1:12" hidden="1" x14ac:dyDescent="0.25">
      <c r="A49" s="130" t="s">
        <v>29</v>
      </c>
      <c r="B49" s="130" t="s">
        <v>369</v>
      </c>
      <c r="C49" s="130" t="s">
        <v>114</v>
      </c>
      <c r="E49" s="130" t="s">
        <v>28</v>
      </c>
      <c r="F49" s="130">
        <v>16</v>
      </c>
      <c r="G49" s="131">
        <v>900</v>
      </c>
      <c r="H49" s="132">
        <f>Tablo5[[#This Row],[GÜN
TEK]]*Tablo5[[#This Row],[TUTAR]]</f>
        <v>14400</v>
      </c>
      <c r="I49" s="132">
        <f>Tablo5[[#This Row],[TOPLAM]]*0.2</f>
        <v>2880</v>
      </c>
      <c r="J49" s="132">
        <f>SUM(Tablo5[[#This Row],[TOPLAM]:[0,20%]])</f>
        <v>17280</v>
      </c>
      <c r="K49" s="132">
        <f>Tablo5[[#This Row],[TOPLAM]]*0.1</f>
        <v>1440</v>
      </c>
      <c r="L49" s="132">
        <f>Tablo5[[#This Row],[TOPLAM]]+Tablo5[[#This Row],[0,20%]]-Tablo5[[#This Row],[0,10%]]</f>
        <v>15840</v>
      </c>
    </row>
    <row r="50" spans="1:12" hidden="1" x14ac:dyDescent="0.25">
      <c r="A50" s="130" t="s">
        <v>29</v>
      </c>
      <c r="B50" s="130" t="s">
        <v>369</v>
      </c>
      <c r="C50" s="130" t="s">
        <v>16</v>
      </c>
      <c r="E50" s="130" t="s">
        <v>28</v>
      </c>
      <c r="F50" s="130">
        <v>1</v>
      </c>
      <c r="G50" s="131">
        <v>850</v>
      </c>
      <c r="H50" s="132">
        <f>Tablo5[[#This Row],[GÜN
TEK]]*Tablo5[[#This Row],[TUTAR]]</f>
        <v>850</v>
      </c>
      <c r="I50" s="132">
        <f>Tablo5[[#This Row],[TOPLAM]]*0.2</f>
        <v>170</v>
      </c>
      <c r="J50" s="132">
        <f>SUM(Tablo5[[#This Row],[TOPLAM]:[0,20%]])</f>
        <v>1020</v>
      </c>
      <c r="K50" s="132">
        <f>Tablo5[[#This Row],[TOPLAM]]*0.1</f>
        <v>85</v>
      </c>
      <c r="L50" s="132">
        <f>Tablo5[[#This Row],[TOPLAM]]+Tablo5[[#This Row],[0,20%]]-Tablo5[[#This Row],[0,10%]]</f>
        <v>935</v>
      </c>
    </row>
    <row r="51" spans="1:12" hidden="1" x14ac:dyDescent="0.25">
      <c r="A51" s="130" t="s">
        <v>29</v>
      </c>
      <c r="B51" s="130" t="s">
        <v>481</v>
      </c>
      <c r="C51" s="130" t="s">
        <v>114</v>
      </c>
      <c r="E51" s="130" t="s">
        <v>28</v>
      </c>
      <c r="F51" s="130">
        <v>18</v>
      </c>
      <c r="G51" s="131">
        <v>1000</v>
      </c>
      <c r="H51" s="132">
        <f>Tablo5[[#This Row],[GÜN
TEK]]*Tablo5[[#This Row],[TUTAR]]</f>
        <v>18000</v>
      </c>
      <c r="I51" s="132">
        <f>Tablo5[[#This Row],[TOPLAM]]*0.2</f>
        <v>3600</v>
      </c>
      <c r="J51" s="132">
        <f>SUM(Tablo5[[#This Row],[TOPLAM]:[0,20%]])</f>
        <v>21600</v>
      </c>
      <c r="K51" s="132">
        <f>Tablo5[[#This Row],[TOPLAM]]*0.1</f>
        <v>1800</v>
      </c>
      <c r="L51" s="132">
        <f>Tablo5[[#This Row],[TOPLAM]]+Tablo5[[#This Row],[0,20%]]-Tablo5[[#This Row],[0,10%]]</f>
        <v>19800</v>
      </c>
    </row>
    <row r="52" spans="1:12" hidden="1" x14ac:dyDescent="0.25">
      <c r="A52" s="130" t="s">
        <v>29</v>
      </c>
      <c r="B52" s="130" t="s">
        <v>370</v>
      </c>
      <c r="C52" s="130" t="s">
        <v>371</v>
      </c>
      <c r="E52" s="130" t="s">
        <v>28</v>
      </c>
      <c r="F52" s="130">
        <v>11</v>
      </c>
      <c r="G52" s="131">
        <v>900</v>
      </c>
      <c r="H52" s="132">
        <f>Tablo5[[#This Row],[GÜN
TEK]]*Tablo5[[#This Row],[TUTAR]]</f>
        <v>9900</v>
      </c>
      <c r="I52" s="132">
        <f>Tablo5[[#This Row],[TOPLAM]]*0.2</f>
        <v>1980</v>
      </c>
      <c r="J52" s="132">
        <f>SUM(Tablo5[[#This Row],[TOPLAM]:[0,20%]])</f>
        <v>11880</v>
      </c>
      <c r="K52" s="132">
        <f>Tablo5[[#This Row],[TOPLAM]]*0.1</f>
        <v>990</v>
      </c>
      <c r="L52" s="132">
        <f>Tablo5[[#This Row],[TOPLAM]]+Tablo5[[#This Row],[0,20%]]-Tablo5[[#This Row],[0,10%]]</f>
        <v>10890</v>
      </c>
    </row>
    <row r="53" spans="1:12" hidden="1" x14ac:dyDescent="0.25">
      <c r="A53" s="130" t="s">
        <v>29</v>
      </c>
      <c r="B53" s="130" t="s">
        <v>212</v>
      </c>
      <c r="C53" s="130" t="s">
        <v>114</v>
      </c>
      <c r="E53" s="130" t="s">
        <v>28</v>
      </c>
      <c r="F53" s="130">
        <v>0</v>
      </c>
      <c r="G53" s="131">
        <v>900</v>
      </c>
      <c r="H53" s="132">
        <f>Tablo5[[#This Row],[GÜN
TEK]]*Tablo5[[#This Row],[TUTAR]]</f>
        <v>0</v>
      </c>
      <c r="I53" s="132">
        <f>Tablo5[[#This Row],[TOPLAM]]*0.2</f>
        <v>0</v>
      </c>
      <c r="J53" s="132">
        <f>SUM(Tablo5[[#This Row],[TOPLAM]:[0,20%]])</f>
        <v>0</v>
      </c>
      <c r="K53" s="132">
        <f>Tablo5[[#This Row],[TOPLAM]]*0.1</f>
        <v>0</v>
      </c>
      <c r="L53" s="132">
        <f>Tablo5[[#This Row],[TOPLAM]]+Tablo5[[#This Row],[0,20%]]-Tablo5[[#This Row],[0,10%]]</f>
        <v>0</v>
      </c>
    </row>
    <row r="54" spans="1:12" hidden="1" x14ac:dyDescent="0.25">
      <c r="A54" s="130" t="s">
        <v>29</v>
      </c>
      <c r="B54" s="130" t="s">
        <v>372</v>
      </c>
      <c r="C54" s="130" t="s">
        <v>12</v>
      </c>
      <c r="E54" s="130" t="s">
        <v>28</v>
      </c>
      <c r="F54" s="130">
        <v>51</v>
      </c>
      <c r="G54" s="131">
        <v>1050</v>
      </c>
      <c r="H54" s="132">
        <f>Tablo5[[#This Row],[GÜN
TEK]]*Tablo5[[#This Row],[TUTAR]]</f>
        <v>53550</v>
      </c>
      <c r="I54" s="132">
        <f>Tablo5[[#This Row],[TOPLAM]]*0.2</f>
        <v>10710</v>
      </c>
      <c r="J54" s="132">
        <f>SUM(Tablo5[[#This Row],[TOPLAM]:[0,20%]])</f>
        <v>64260</v>
      </c>
      <c r="K54" s="132">
        <f>Tablo5[[#This Row],[TOPLAM]]*0.1</f>
        <v>5355</v>
      </c>
      <c r="L54" s="132">
        <f>Tablo5[[#This Row],[TOPLAM]]+Tablo5[[#This Row],[0,20%]]-Tablo5[[#This Row],[0,10%]]</f>
        <v>58905</v>
      </c>
    </row>
    <row r="55" spans="1:12" hidden="1" x14ac:dyDescent="0.25">
      <c r="A55" s="130" t="s">
        <v>29</v>
      </c>
      <c r="B55" s="130" t="s">
        <v>212</v>
      </c>
      <c r="C55" s="130" t="s">
        <v>12</v>
      </c>
      <c r="E55" s="130" t="s">
        <v>28</v>
      </c>
      <c r="G55" s="131">
        <v>900</v>
      </c>
      <c r="H55" s="132">
        <f>Tablo5[[#This Row],[GÜN
TEK]]*Tablo5[[#This Row],[TUTAR]]</f>
        <v>0</v>
      </c>
      <c r="I55" s="132">
        <f>Tablo5[[#This Row],[TOPLAM]]*0.2</f>
        <v>0</v>
      </c>
      <c r="J55" s="132">
        <f>SUM(Tablo5[[#This Row],[TOPLAM]:[0,20%]])</f>
        <v>0</v>
      </c>
      <c r="K55" s="132">
        <f>Tablo5[[#This Row],[TOPLAM]]*0.1</f>
        <v>0</v>
      </c>
      <c r="L55" s="132">
        <f>Tablo5[[#This Row],[TOPLAM]]+Tablo5[[#This Row],[0,20%]]-Tablo5[[#This Row],[0,10%]]</f>
        <v>0</v>
      </c>
    </row>
    <row r="56" spans="1:12" hidden="1" x14ac:dyDescent="0.25">
      <c r="A56" s="130" t="s">
        <v>29</v>
      </c>
      <c r="B56" s="130" t="s">
        <v>373</v>
      </c>
      <c r="C56" s="130" t="s">
        <v>12</v>
      </c>
      <c r="D56" s="130" t="s">
        <v>374</v>
      </c>
      <c r="E56" s="130" t="s">
        <v>10</v>
      </c>
      <c r="H56" s="132">
        <f>Tablo5[[#This Row],[GÜN
TEK]]*Tablo5[[#This Row],[TUTAR]]</f>
        <v>0</v>
      </c>
      <c r="I56" s="132">
        <f>Tablo5[[#This Row],[TOPLAM]]*0.2</f>
        <v>0</v>
      </c>
      <c r="J56" s="132">
        <f>SUM(Tablo5[[#This Row],[TOPLAM]:[0,20%]])</f>
        <v>0</v>
      </c>
      <c r="K56" s="132">
        <f>Tablo5[[#This Row],[TOPLAM]]*0.1</f>
        <v>0</v>
      </c>
      <c r="L56" s="132">
        <f>Tablo5[[#This Row],[TOPLAM]]+Tablo5[[#This Row],[0,20%]]-Tablo5[[#This Row],[0,10%]]</f>
        <v>0</v>
      </c>
    </row>
    <row r="57" spans="1:12" x14ac:dyDescent="0.25">
      <c r="A57" s="130" t="s">
        <v>29</v>
      </c>
      <c r="B57" s="199" t="s">
        <v>525</v>
      </c>
      <c r="C57" s="130" t="s">
        <v>7</v>
      </c>
      <c r="D57" s="130" t="s">
        <v>526</v>
      </c>
      <c r="E57" s="130" t="s">
        <v>47</v>
      </c>
      <c r="G57" s="131">
        <v>1500</v>
      </c>
      <c r="H57" s="132">
        <f>Tablo5[[#This Row],[GÜN
TEK]]*Tablo5[[#This Row],[TUTAR]]</f>
        <v>0</v>
      </c>
      <c r="I57" s="132">
        <f>Tablo5[[#This Row],[TOPLAM]]*0.2</f>
        <v>0</v>
      </c>
      <c r="J57" s="132">
        <f>SUM(Tablo5[[#This Row],[TOPLAM]:[0,20%]])</f>
        <v>0</v>
      </c>
      <c r="K57" s="132">
        <f>Tablo5[[#This Row],[TOPLAM]]*0.1</f>
        <v>0</v>
      </c>
      <c r="L57" s="132">
        <f>Tablo5[[#This Row],[TOPLAM]]+Tablo5[[#This Row],[0,20%]]-Tablo5[[#This Row],[0,10%]]</f>
        <v>0</v>
      </c>
    </row>
    <row r="58" spans="1:12" ht="15" hidden="1" thickTop="1" thickBot="1" x14ac:dyDescent="0.3">
      <c r="H58" s="133">
        <f>SUBTOTAL(109,H2:H57)</f>
        <v>34200</v>
      </c>
      <c r="I58" s="133">
        <f>SUBTOTAL(109,I2:I57)</f>
        <v>6840</v>
      </c>
      <c r="J58" s="133">
        <f>SUBTOTAL(109,J2:J57)</f>
        <v>41040</v>
      </c>
      <c r="K58" s="133">
        <f>SUBTOTAL(109,K2:K57)</f>
        <v>3420</v>
      </c>
      <c r="L58" s="133">
        <f>SUBTOTAL(109,L2:L57)</f>
        <v>37620</v>
      </c>
    </row>
    <row r="60" spans="1:12" s="128" customFormat="1" ht="28.2" customHeight="1" thickBot="1" x14ac:dyDescent="0.35">
      <c r="A60" s="154" t="s">
        <v>202</v>
      </c>
      <c r="B60" s="154" t="s">
        <v>327</v>
      </c>
      <c r="C60" s="154" t="s">
        <v>0</v>
      </c>
      <c r="D60" s="154" t="s">
        <v>1</v>
      </c>
      <c r="E60" s="154" t="s">
        <v>326</v>
      </c>
      <c r="F60" s="155" t="s">
        <v>328</v>
      </c>
      <c r="G60" s="156" t="s">
        <v>2</v>
      </c>
      <c r="H60" s="156" t="s">
        <v>3</v>
      </c>
      <c r="I60" s="156" t="s">
        <v>229</v>
      </c>
      <c r="J60" s="156" t="s">
        <v>4</v>
      </c>
      <c r="K60" s="156" t="s">
        <v>228</v>
      </c>
      <c r="L60" s="156" t="s">
        <v>5</v>
      </c>
    </row>
    <row r="61" spans="1:12" x14ac:dyDescent="0.25">
      <c r="A61" s="130" t="s">
        <v>48</v>
      </c>
      <c r="B61" s="130" t="s">
        <v>49</v>
      </c>
      <c r="C61" s="130" t="s">
        <v>51</v>
      </c>
      <c r="E61" s="130" t="s">
        <v>325</v>
      </c>
      <c r="F61" s="130">
        <v>19</v>
      </c>
      <c r="G61" s="131">
        <v>4750</v>
      </c>
      <c r="H61" s="132">
        <f>Tablo8[[#This Row],[GÜN
TEK]]*Tablo8[[#This Row],[TUTAR]]</f>
        <v>90250</v>
      </c>
      <c r="I61" s="132">
        <f>Tablo8[[#This Row],[TOPLAM]]*0.2</f>
        <v>18050</v>
      </c>
      <c r="J61" s="132">
        <f>SUM(Tablo8[[#This Row],[TOPLAM]:[0,20%]])</f>
        <v>108300</v>
      </c>
      <c r="K61" s="132">
        <f>Tablo8[[#This Row],[TOPLAM]]*0.1</f>
        <v>9025</v>
      </c>
      <c r="L61" s="132">
        <f>Tablo8[[#This Row],[TOPLAM]]+Tablo8[[#This Row],[0,20%]]-Tablo8[[#This Row],[0,10%]]</f>
        <v>99275</v>
      </c>
    </row>
    <row r="62" spans="1:12" x14ac:dyDescent="0.25">
      <c r="A62" s="130" t="s">
        <v>48</v>
      </c>
      <c r="B62" s="130" t="s">
        <v>50</v>
      </c>
      <c r="C62" s="130" t="s">
        <v>51</v>
      </c>
      <c r="E62" s="130" t="s">
        <v>325</v>
      </c>
      <c r="F62" s="130">
        <v>19</v>
      </c>
      <c r="G62" s="131">
        <v>3500</v>
      </c>
      <c r="H62" s="132">
        <f>Tablo8[[#This Row],[GÜN
TEK]]*Tablo8[[#This Row],[TUTAR]]</f>
        <v>66500</v>
      </c>
      <c r="I62" s="132">
        <f>Tablo8[[#This Row],[TOPLAM]]*0.2</f>
        <v>13300</v>
      </c>
      <c r="J62" s="132">
        <f>SUM(Tablo8[[#This Row],[TOPLAM]:[0,20%]])</f>
        <v>79800</v>
      </c>
      <c r="K62" s="132">
        <f>Tablo8[[#This Row],[TOPLAM]]*0.1</f>
        <v>6650</v>
      </c>
      <c r="L62" s="132">
        <f>Tablo8[[#This Row],[TOPLAM]]+Tablo8[[#This Row],[0,20%]]-Tablo8[[#This Row],[0,10%]]</f>
        <v>73150</v>
      </c>
    </row>
    <row r="63" spans="1:12" x14ac:dyDescent="0.25">
      <c r="A63" s="130" t="s">
        <v>48</v>
      </c>
      <c r="B63" s="130" t="s">
        <v>50</v>
      </c>
      <c r="C63" s="130" t="s">
        <v>375</v>
      </c>
      <c r="E63" s="130" t="s">
        <v>325</v>
      </c>
      <c r="F63" s="130">
        <v>19</v>
      </c>
      <c r="G63" s="131">
        <v>3750</v>
      </c>
      <c r="H63" s="132">
        <f>Tablo8[[#This Row],[GÜN
TEK]]*Tablo8[[#This Row],[TUTAR]]</f>
        <v>71250</v>
      </c>
      <c r="I63" s="132">
        <f>Tablo8[[#This Row],[TOPLAM]]*0.2</f>
        <v>14250</v>
      </c>
      <c r="J63" s="132">
        <f>SUM(Tablo8[[#This Row],[TOPLAM]:[0,20%]])</f>
        <v>85500</v>
      </c>
      <c r="K63" s="132">
        <f>Tablo8[[#This Row],[TOPLAM]]*0.1</f>
        <v>7125</v>
      </c>
      <c r="L63" s="132">
        <f>Tablo8[[#This Row],[TOPLAM]]+Tablo8[[#This Row],[0,20%]]-Tablo8[[#This Row],[0,10%]]</f>
        <v>78375</v>
      </c>
    </row>
    <row r="64" spans="1:12" x14ac:dyDescent="0.25">
      <c r="A64" s="130" t="s">
        <v>48</v>
      </c>
      <c r="B64" s="130" t="s">
        <v>52</v>
      </c>
      <c r="C64" s="130" t="s">
        <v>53</v>
      </c>
      <c r="E64" s="130" t="s">
        <v>325</v>
      </c>
      <c r="F64" s="130">
        <v>19</v>
      </c>
      <c r="G64" s="131">
        <v>3500</v>
      </c>
      <c r="H64" s="132">
        <f>Tablo8[[#This Row],[GÜN
TEK]]*Tablo8[[#This Row],[TUTAR]]</f>
        <v>66500</v>
      </c>
      <c r="I64" s="132">
        <f>Tablo8[[#This Row],[TOPLAM]]*0.2</f>
        <v>13300</v>
      </c>
      <c r="J64" s="132">
        <f>SUM(Tablo8[[#This Row],[TOPLAM]:[0,20%]])</f>
        <v>79800</v>
      </c>
      <c r="K64" s="132">
        <f>Tablo8[[#This Row],[TOPLAM]]*0.1</f>
        <v>6650</v>
      </c>
      <c r="L64" s="132">
        <f>Tablo8[[#This Row],[TOPLAM]]+Tablo8[[#This Row],[0,20%]]-Tablo8[[#This Row],[0,10%]]</f>
        <v>73150</v>
      </c>
    </row>
    <row r="65" spans="1:12" ht="14.4" thickBot="1" x14ac:dyDescent="0.3">
      <c r="A65" s="130" t="s">
        <v>48</v>
      </c>
      <c r="B65" s="130" t="s">
        <v>17</v>
      </c>
      <c r="C65" s="130" t="s">
        <v>54</v>
      </c>
      <c r="E65" s="130" t="s">
        <v>325</v>
      </c>
      <c r="F65" s="130">
        <v>19</v>
      </c>
      <c r="G65" s="131">
        <v>3250</v>
      </c>
      <c r="H65" s="132">
        <f>Tablo8[[#This Row],[GÜN
TEK]]*Tablo8[[#This Row],[TUTAR]]</f>
        <v>61750</v>
      </c>
      <c r="I65" s="132">
        <f>Tablo8[[#This Row],[TOPLAM]]*0.2</f>
        <v>12350</v>
      </c>
      <c r="J65" s="132">
        <f>SUM(Tablo8[[#This Row],[TOPLAM]:[0,20%]])</f>
        <v>74100</v>
      </c>
      <c r="K65" s="132">
        <f>Tablo8[[#This Row],[TOPLAM]]*0.1</f>
        <v>6175</v>
      </c>
      <c r="L65" s="132">
        <f>Tablo8[[#This Row],[TOPLAM]]+Tablo8[[#This Row],[0,20%]]-Tablo8[[#This Row],[0,10%]]</f>
        <v>67925</v>
      </c>
    </row>
    <row r="66" spans="1:12" ht="15" thickTop="1" thickBot="1" x14ac:dyDescent="0.3">
      <c r="H66" s="133">
        <f t="shared" ref="H66:I66" si="0">SUBTOTAL(109,H61:H65)</f>
        <v>356250</v>
      </c>
      <c r="I66" s="133">
        <f t="shared" si="0"/>
        <v>71250</v>
      </c>
      <c r="J66" s="133">
        <f t="shared" ref="J66" si="1">SUBTOTAL(109,J61:J65)</f>
        <v>427500</v>
      </c>
      <c r="K66" s="133">
        <f t="shared" ref="K66" si="2">SUBTOTAL(109,K61:K65)</f>
        <v>35625</v>
      </c>
      <c r="L66" s="133">
        <f t="shared" ref="L66" si="3">SUBTOTAL(109,L61:L65)</f>
        <v>391875</v>
      </c>
    </row>
    <row r="67" spans="1:12" ht="14.4" thickTop="1" x14ac:dyDescent="0.25"/>
    <row r="69" spans="1:12" s="128" customFormat="1" ht="35.4" customHeight="1" thickBot="1" x14ac:dyDescent="0.35">
      <c r="A69" s="151" t="s">
        <v>202</v>
      </c>
      <c r="B69" s="151" t="s">
        <v>327</v>
      </c>
      <c r="C69" s="151" t="s">
        <v>0</v>
      </c>
      <c r="D69" s="151" t="s">
        <v>1</v>
      </c>
      <c r="E69" s="151" t="s">
        <v>326</v>
      </c>
      <c r="F69" s="152" t="s">
        <v>328</v>
      </c>
      <c r="G69" s="153" t="s">
        <v>2</v>
      </c>
      <c r="H69" s="153" t="s">
        <v>3</v>
      </c>
      <c r="I69" s="153" t="s">
        <v>229</v>
      </c>
      <c r="J69" s="153" t="s">
        <v>4</v>
      </c>
      <c r="K69" s="153" t="s">
        <v>228</v>
      </c>
      <c r="L69" s="153" t="s">
        <v>5</v>
      </c>
    </row>
    <row r="70" spans="1:12" x14ac:dyDescent="0.25">
      <c r="A70" s="130" t="s">
        <v>56</v>
      </c>
      <c r="B70" s="130" t="s">
        <v>491</v>
      </c>
      <c r="C70" s="130" t="s">
        <v>57</v>
      </c>
      <c r="D70" s="130" t="s">
        <v>60</v>
      </c>
      <c r="E70" s="130" t="s">
        <v>376</v>
      </c>
      <c r="F70" s="130">
        <v>30</v>
      </c>
      <c r="G70" s="131">
        <v>1100</v>
      </c>
      <c r="H70" s="132">
        <f>Tablo812[[#This Row],[GÜN
TEK]]*Tablo812[[#This Row],[TUTAR]]</f>
        <v>33000</v>
      </c>
      <c r="I70" s="132">
        <f>Tablo812[[#This Row],[TOPLAM]]*0.2</f>
        <v>6600</v>
      </c>
      <c r="J70" s="132">
        <f>SUM(Tablo812[[#This Row],[TOPLAM]:[0,20%]])</f>
        <v>39600</v>
      </c>
      <c r="L70" s="132">
        <f>Tablo812[[#This Row],[TOPLAM]]+Tablo812[[#This Row],[0,20%]]-Tablo812[[#This Row],[0,10%]]</f>
        <v>39600</v>
      </c>
    </row>
    <row r="71" spans="1:12" x14ac:dyDescent="0.25">
      <c r="A71" s="130" t="s">
        <v>56</v>
      </c>
      <c r="B71" s="130" t="s">
        <v>491</v>
      </c>
      <c r="C71" s="130" t="s">
        <v>57</v>
      </c>
      <c r="D71" s="130" t="s">
        <v>60</v>
      </c>
      <c r="E71" s="130" t="s">
        <v>376</v>
      </c>
      <c r="F71" s="130">
        <v>30</v>
      </c>
      <c r="G71" s="131">
        <v>1100</v>
      </c>
      <c r="H71" s="132">
        <f>Tablo812[[#This Row],[GÜN
TEK]]*Tablo812[[#This Row],[TUTAR]]</f>
        <v>33000</v>
      </c>
      <c r="I71" s="132">
        <f>Tablo812[[#This Row],[TOPLAM]]*0.2</f>
        <v>6600</v>
      </c>
      <c r="J71" s="132">
        <f>SUM(Tablo812[[#This Row],[TOPLAM]:[0,20%]])</f>
        <v>39600</v>
      </c>
      <c r="L71" s="132">
        <f>Tablo812[[#This Row],[TOPLAM]]+Tablo812[[#This Row],[0,20%]]-Tablo812[[#This Row],[0,10%]]</f>
        <v>39600</v>
      </c>
    </row>
    <row r="72" spans="1:12" x14ac:dyDescent="0.25">
      <c r="A72" s="130" t="s">
        <v>56</v>
      </c>
      <c r="B72" s="130" t="s">
        <v>491</v>
      </c>
      <c r="C72" s="130" t="s">
        <v>57</v>
      </c>
      <c r="D72" s="130" t="s">
        <v>60</v>
      </c>
      <c r="E72" s="130" t="s">
        <v>376</v>
      </c>
      <c r="F72" s="130">
        <v>30</v>
      </c>
      <c r="G72" s="131">
        <v>1100</v>
      </c>
      <c r="H72" s="132">
        <f>Tablo812[[#This Row],[GÜN
TEK]]*Tablo812[[#This Row],[TUTAR]]</f>
        <v>33000</v>
      </c>
      <c r="I72" s="132">
        <f>Tablo812[[#This Row],[TOPLAM]]*0.2</f>
        <v>6600</v>
      </c>
      <c r="J72" s="132">
        <f>SUM(Tablo812[[#This Row],[TOPLAM]:[0,20%]])</f>
        <v>39600</v>
      </c>
      <c r="L72" s="132">
        <f>Tablo812[[#This Row],[TOPLAM]]+Tablo812[[#This Row],[0,20%]]-Tablo812[[#This Row],[0,10%]]</f>
        <v>39600</v>
      </c>
    </row>
    <row r="73" spans="1:12" x14ac:dyDescent="0.25">
      <c r="A73" s="130" t="s">
        <v>56</v>
      </c>
      <c r="B73" s="130" t="s">
        <v>491</v>
      </c>
      <c r="C73" s="130" t="s">
        <v>57</v>
      </c>
      <c r="D73" s="130" t="s">
        <v>516</v>
      </c>
      <c r="E73" s="130" t="s">
        <v>376</v>
      </c>
      <c r="F73" s="130">
        <v>30</v>
      </c>
      <c r="G73" s="131">
        <v>1265</v>
      </c>
      <c r="H73" s="132">
        <f>Tablo812[[#This Row],[GÜN
TEK]]*Tablo812[[#This Row],[TUTAR]]</f>
        <v>37950</v>
      </c>
      <c r="I73" s="132">
        <f>Tablo812[[#This Row],[TOPLAM]]*0.2</f>
        <v>7590</v>
      </c>
      <c r="J73" s="132">
        <f>SUM(Tablo812[[#This Row],[TOPLAM]:[0,20%]])</f>
        <v>45540</v>
      </c>
      <c r="L73" s="132">
        <f>Tablo812[[#This Row],[TOPLAM]]+Tablo812[[#This Row],[0,20%]]-Tablo812[[#This Row],[0,10%]]</f>
        <v>45540</v>
      </c>
    </row>
    <row r="74" spans="1:12" x14ac:dyDescent="0.25">
      <c r="A74" s="130" t="s">
        <v>56</v>
      </c>
      <c r="B74" s="130" t="s">
        <v>517</v>
      </c>
      <c r="C74" s="130" t="s">
        <v>57</v>
      </c>
      <c r="E74" s="130" t="s">
        <v>517</v>
      </c>
      <c r="F74" s="130">
        <v>1</v>
      </c>
      <c r="G74" s="131">
        <v>5680</v>
      </c>
      <c r="H74" s="132">
        <f>Tablo812[[#This Row],[GÜN
TEK]]*Tablo812[[#This Row],[TUTAR]]</f>
        <v>5680</v>
      </c>
      <c r="I74" s="132">
        <f>Tablo812[[#This Row],[TOPLAM]]*0.2</f>
        <v>1136</v>
      </c>
      <c r="J74" s="132">
        <f>SUM(Tablo812[[#This Row],[TOPLAM]:[0,20%]])</f>
        <v>6816</v>
      </c>
      <c r="L74" s="132">
        <f>Tablo812[[#This Row],[TOPLAM]]+Tablo812[[#This Row],[0,20%]]-Tablo812[[#This Row],[0,10%]]</f>
        <v>6816</v>
      </c>
    </row>
    <row r="75" spans="1:12" ht="14.4" thickBot="1" x14ac:dyDescent="0.3">
      <c r="A75" s="130" t="s">
        <v>56</v>
      </c>
      <c r="B75" s="130" t="s">
        <v>491</v>
      </c>
      <c r="C75" s="130" t="s">
        <v>58</v>
      </c>
      <c r="D75" s="130" t="s">
        <v>516</v>
      </c>
      <c r="E75" s="130" t="s">
        <v>376</v>
      </c>
      <c r="F75" s="130">
        <v>30</v>
      </c>
      <c r="G75" s="131">
        <v>1335</v>
      </c>
      <c r="H75" s="132">
        <f>Tablo812[[#This Row],[GÜN
TEK]]*Tablo812[[#This Row],[TUTAR]]</f>
        <v>40050</v>
      </c>
      <c r="I75" s="132">
        <f>Tablo812[[#This Row],[TOPLAM]]*0.2</f>
        <v>8010</v>
      </c>
      <c r="J75" s="132">
        <f>SUM(Tablo812[[#This Row],[TOPLAM]:[0,20%]])</f>
        <v>48060</v>
      </c>
      <c r="L75" s="132">
        <f>Tablo812[[#This Row],[TOPLAM]]+Tablo812[[#This Row],[0,20%]]-Tablo812[[#This Row],[0,10%]]</f>
        <v>48060</v>
      </c>
    </row>
    <row r="76" spans="1:12" ht="15" thickTop="1" thickBot="1" x14ac:dyDescent="0.3">
      <c r="H76" s="133">
        <f>SUBTOTAL(109,H70:H75)</f>
        <v>182680</v>
      </c>
      <c r="I76" s="133">
        <f t="shared" ref="I76" si="4">SUBTOTAL(109,I70:I75)</f>
        <v>36536</v>
      </c>
      <c r="J76" s="133">
        <f t="shared" ref="J76" si="5">SUBTOTAL(109,J70:J75)</f>
        <v>219216</v>
      </c>
      <c r="K76" s="133">
        <f t="shared" ref="K76" si="6">SUBTOTAL(109,K70:K75)</f>
        <v>0</v>
      </c>
      <c r="L76" s="133">
        <f t="shared" ref="L76" si="7">SUBTOTAL(109,L70:L75)</f>
        <v>219216</v>
      </c>
    </row>
    <row r="77" spans="1:12" ht="14.4" thickTop="1" x14ac:dyDescent="0.25"/>
    <row r="78" spans="1:12" s="128" customFormat="1" ht="37.200000000000003" customHeight="1" thickBot="1" x14ac:dyDescent="0.35">
      <c r="A78" s="148" t="s">
        <v>202</v>
      </c>
      <c r="B78" s="148" t="s">
        <v>327</v>
      </c>
      <c r="C78" s="148" t="s">
        <v>0</v>
      </c>
      <c r="D78" s="148" t="s">
        <v>1</v>
      </c>
      <c r="E78" s="148" t="s">
        <v>326</v>
      </c>
      <c r="F78" s="149" t="s">
        <v>328</v>
      </c>
      <c r="G78" s="150" t="s">
        <v>2</v>
      </c>
      <c r="H78" s="150" t="s">
        <v>3</v>
      </c>
      <c r="I78" s="150" t="s">
        <v>229</v>
      </c>
      <c r="J78" s="150" t="s">
        <v>4</v>
      </c>
      <c r="K78" s="150" t="s">
        <v>228</v>
      </c>
      <c r="L78" s="150" t="s">
        <v>5</v>
      </c>
    </row>
    <row r="79" spans="1:12" x14ac:dyDescent="0.25">
      <c r="A79" s="130" t="s">
        <v>75</v>
      </c>
      <c r="B79" s="130" t="s">
        <v>78</v>
      </c>
      <c r="C79" s="130" t="s">
        <v>7</v>
      </c>
      <c r="D79" s="130" t="s">
        <v>8</v>
      </c>
      <c r="E79" s="130" t="s">
        <v>77</v>
      </c>
      <c r="F79" s="130">
        <v>27</v>
      </c>
      <c r="G79" s="131">
        <v>1700</v>
      </c>
      <c r="H79" s="132">
        <f>Tablo18[[#This Row],[GÜN
TEK]]*Tablo18[[#This Row],[TUTAR]]</f>
        <v>45900</v>
      </c>
      <c r="I79" s="132">
        <f>Tablo18[[#This Row],[TOPLAM]]*0.2</f>
        <v>9180</v>
      </c>
      <c r="J79" s="132">
        <f>SUM(Tablo18[[#This Row],[TOPLAM]:[0,20%]])</f>
        <v>55080</v>
      </c>
      <c r="K79" s="132">
        <f>Tablo18[[#This Row],[TOPLAM]]*0.1</f>
        <v>4590</v>
      </c>
      <c r="L79" s="132">
        <f>Tablo18[[#This Row],[TOPLAM]]+Tablo18[[#This Row],[0,20%]]-Tablo18[[#This Row],[0,10%]]</f>
        <v>50490</v>
      </c>
    </row>
    <row r="80" spans="1:12" x14ac:dyDescent="0.25">
      <c r="A80" s="130" t="s">
        <v>75</v>
      </c>
      <c r="B80" s="130" t="s">
        <v>78</v>
      </c>
      <c r="C80" s="130" t="s">
        <v>7</v>
      </c>
      <c r="D80" s="130" t="s">
        <v>8</v>
      </c>
      <c r="E80" s="130" t="s">
        <v>47</v>
      </c>
      <c r="F80" s="130">
        <v>29</v>
      </c>
      <c r="G80" s="131">
        <v>1400</v>
      </c>
      <c r="H80" s="132">
        <f>Tablo18[[#This Row],[GÜN
TEK]]*Tablo18[[#This Row],[TUTAR]]</f>
        <v>40600</v>
      </c>
      <c r="I80" s="132">
        <f>Tablo18[[#This Row],[TOPLAM]]*0.2</f>
        <v>8120</v>
      </c>
      <c r="J80" s="132">
        <f>SUM(Tablo18[[#This Row],[TOPLAM]:[0,20%]])</f>
        <v>48720</v>
      </c>
      <c r="K80" s="132">
        <f>Tablo18[[#This Row],[TOPLAM]]*0.1</f>
        <v>4060</v>
      </c>
      <c r="L80" s="132">
        <f>Tablo18[[#This Row],[TOPLAM]]+Tablo18[[#This Row],[0,20%]]-Tablo18[[#This Row],[0,10%]]</f>
        <v>44660</v>
      </c>
    </row>
    <row r="81" spans="1:12" x14ac:dyDescent="0.25">
      <c r="A81" s="130" t="s">
        <v>75</v>
      </c>
      <c r="B81" s="130" t="s">
        <v>552</v>
      </c>
      <c r="C81" s="130" t="s">
        <v>7</v>
      </c>
      <c r="D81" s="130" t="s">
        <v>8</v>
      </c>
      <c r="E81" s="130" t="s">
        <v>77</v>
      </c>
      <c r="G81" s="131">
        <v>1700</v>
      </c>
      <c r="H81" s="132">
        <f>Tablo18[[#This Row],[GÜN
TEK]]*Tablo18[[#This Row],[TUTAR]]</f>
        <v>0</v>
      </c>
      <c r="I81" s="132">
        <f>Tablo18[[#This Row],[TOPLAM]]*0.2</f>
        <v>0</v>
      </c>
      <c r="J81" s="132">
        <f>SUM(Tablo18[[#This Row],[TOPLAM]:[0,20%]])</f>
        <v>0</v>
      </c>
      <c r="K81" s="132">
        <f>Tablo18[[#This Row],[TOPLAM]]*0.1</f>
        <v>0</v>
      </c>
      <c r="L81" s="132">
        <f>Tablo18[[#This Row],[TOPLAM]]+Tablo18[[#This Row],[0,20%]]-Tablo18[[#This Row],[0,10%]]</f>
        <v>0</v>
      </c>
    </row>
    <row r="82" spans="1:12" hidden="1" x14ac:dyDescent="0.25">
      <c r="A82" s="130" t="s">
        <v>75</v>
      </c>
      <c r="B82" s="130" t="s">
        <v>377</v>
      </c>
      <c r="C82" s="130" t="s">
        <v>79</v>
      </c>
      <c r="D82" s="130" t="s">
        <v>80</v>
      </c>
      <c r="E82" s="130" t="s">
        <v>77</v>
      </c>
      <c r="F82" s="130">
        <v>41</v>
      </c>
      <c r="G82" s="131">
        <v>1100</v>
      </c>
      <c r="H82" s="132">
        <f>Tablo18[[#This Row],[GÜN
TEK]]*Tablo18[[#This Row],[TUTAR]]</f>
        <v>45100</v>
      </c>
      <c r="I82" s="132">
        <f>Tablo18[[#This Row],[TOPLAM]]*0.2</f>
        <v>9020</v>
      </c>
      <c r="J82" s="132">
        <f>SUM(Tablo18[[#This Row],[TOPLAM]:[0,20%]])</f>
        <v>54120</v>
      </c>
      <c r="K82" s="132">
        <f>Tablo18[[#This Row],[TOPLAM]]*0.1</f>
        <v>4510</v>
      </c>
      <c r="L82" s="132">
        <f>Tablo18[[#This Row],[TOPLAM]]+Tablo18[[#This Row],[0,20%]]-Tablo18[[#This Row],[0,10%]]</f>
        <v>49610</v>
      </c>
    </row>
    <row r="83" spans="1:12" hidden="1" x14ac:dyDescent="0.25">
      <c r="A83" s="130" t="s">
        <v>75</v>
      </c>
      <c r="B83" s="130" t="s">
        <v>377</v>
      </c>
      <c r="C83" s="130" t="s">
        <v>79</v>
      </c>
      <c r="D83" s="130" t="s">
        <v>80</v>
      </c>
      <c r="E83" s="130" t="s">
        <v>47</v>
      </c>
      <c r="F83" s="130">
        <v>11</v>
      </c>
      <c r="G83" s="131">
        <v>900</v>
      </c>
      <c r="H83" s="132">
        <f>Tablo18[[#This Row],[GÜN
TEK]]*Tablo18[[#This Row],[TUTAR]]</f>
        <v>9900</v>
      </c>
      <c r="I83" s="132">
        <f>Tablo18[[#This Row],[TOPLAM]]*0.2</f>
        <v>1980</v>
      </c>
      <c r="J83" s="132">
        <f>SUM(Tablo18[[#This Row],[TOPLAM]:[0,20%]])</f>
        <v>11880</v>
      </c>
      <c r="K83" s="132">
        <f>Tablo18[[#This Row],[TOPLAM]]*0.1</f>
        <v>990</v>
      </c>
      <c r="L83" s="132">
        <f>Tablo18[[#This Row],[TOPLAM]]+Tablo18[[#This Row],[0,20%]]-Tablo18[[#This Row],[0,10%]]</f>
        <v>10890</v>
      </c>
    </row>
    <row r="84" spans="1:12" hidden="1" x14ac:dyDescent="0.25">
      <c r="A84" s="130" t="s">
        <v>75</v>
      </c>
      <c r="B84" s="130" t="s">
        <v>81</v>
      </c>
      <c r="C84" s="130" t="s">
        <v>82</v>
      </c>
      <c r="D84" s="130" t="s">
        <v>83</v>
      </c>
      <c r="E84" s="130" t="s">
        <v>77</v>
      </c>
      <c r="F84" s="130">
        <v>11</v>
      </c>
      <c r="G84" s="131">
        <v>1100</v>
      </c>
      <c r="H84" s="132">
        <f>Tablo18[[#This Row],[GÜN
TEK]]*Tablo18[[#This Row],[TUTAR]]</f>
        <v>12100</v>
      </c>
      <c r="I84" s="132">
        <f>Tablo18[[#This Row],[TOPLAM]]*0.2</f>
        <v>2420</v>
      </c>
      <c r="J84" s="132">
        <f>SUM(Tablo18[[#This Row],[TOPLAM]:[0,20%]])</f>
        <v>14520</v>
      </c>
      <c r="K84" s="132">
        <f>Tablo18[[#This Row],[TOPLAM]]*0.1</f>
        <v>1210</v>
      </c>
      <c r="L84" s="132">
        <f>Tablo18[[#This Row],[TOPLAM]]+Tablo18[[#This Row],[0,20%]]-Tablo18[[#This Row],[0,10%]]</f>
        <v>13310</v>
      </c>
    </row>
    <row r="85" spans="1:12" hidden="1" x14ac:dyDescent="0.25">
      <c r="A85" s="130" t="s">
        <v>75</v>
      </c>
      <c r="B85" s="130" t="s">
        <v>81</v>
      </c>
      <c r="C85" s="130" t="s">
        <v>82</v>
      </c>
      <c r="D85" s="130" t="s">
        <v>83</v>
      </c>
      <c r="E85" s="130" t="s">
        <v>47</v>
      </c>
      <c r="F85" s="130">
        <v>61</v>
      </c>
      <c r="G85" s="131">
        <v>900</v>
      </c>
      <c r="H85" s="132">
        <f>Tablo18[[#This Row],[GÜN
TEK]]*Tablo18[[#This Row],[TUTAR]]</f>
        <v>54900</v>
      </c>
      <c r="I85" s="132">
        <f>Tablo18[[#This Row],[TOPLAM]]*0.2</f>
        <v>10980</v>
      </c>
      <c r="J85" s="132">
        <f>SUM(Tablo18[[#This Row],[TOPLAM]:[0,20%]])</f>
        <v>65880</v>
      </c>
      <c r="K85" s="132">
        <f>Tablo18[[#This Row],[TOPLAM]]*0.1</f>
        <v>5490</v>
      </c>
      <c r="L85" s="132">
        <f>Tablo18[[#This Row],[TOPLAM]]+Tablo18[[#This Row],[0,20%]]-Tablo18[[#This Row],[0,10%]]</f>
        <v>60390</v>
      </c>
    </row>
    <row r="86" spans="1:12" hidden="1" x14ac:dyDescent="0.25">
      <c r="A86" s="130" t="s">
        <v>75</v>
      </c>
      <c r="B86" s="130" t="s">
        <v>378</v>
      </c>
      <c r="C86" s="130" t="s">
        <v>592</v>
      </c>
      <c r="D86" s="130" t="s">
        <v>84</v>
      </c>
      <c r="E86" s="130" t="s">
        <v>77</v>
      </c>
      <c r="F86" s="130">
        <v>42</v>
      </c>
      <c r="G86" s="131">
        <v>1130</v>
      </c>
      <c r="H86" s="132">
        <f>Tablo18[[#This Row],[GÜN
TEK]]*Tablo18[[#This Row],[TUTAR]]</f>
        <v>47460</v>
      </c>
      <c r="I86" s="132">
        <f>Tablo18[[#This Row],[TOPLAM]]*0.2</f>
        <v>9492</v>
      </c>
      <c r="J86" s="132">
        <f>SUM(Tablo18[[#This Row],[TOPLAM]:[0,20%]])</f>
        <v>56952</v>
      </c>
      <c r="K86" s="132">
        <f>Tablo18[[#This Row],[TOPLAM]]*0.1</f>
        <v>4746</v>
      </c>
      <c r="L86" s="132">
        <f>Tablo18[[#This Row],[TOPLAM]]+Tablo18[[#This Row],[0,20%]]-Tablo18[[#This Row],[0,10%]]</f>
        <v>52206</v>
      </c>
    </row>
    <row r="87" spans="1:12" hidden="1" x14ac:dyDescent="0.25">
      <c r="A87" s="130" t="s">
        <v>75</v>
      </c>
      <c r="B87" s="130" t="s">
        <v>378</v>
      </c>
      <c r="C87" s="130" t="s">
        <v>592</v>
      </c>
      <c r="D87" s="130" t="s">
        <v>84</v>
      </c>
      <c r="E87" s="130" t="s">
        <v>47</v>
      </c>
      <c r="F87" s="130">
        <v>11</v>
      </c>
      <c r="G87" s="131">
        <v>900</v>
      </c>
      <c r="H87" s="132">
        <f>Tablo18[[#This Row],[GÜN
TEK]]*Tablo18[[#This Row],[TUTAR]]</f>
        <v>9900</v>
      </c>
      <c r="I87" s="132">
        <f>Tablo18[[#This Row],[TOPLAM]]*0.2</f>
        <v>1980</v>
      </c>
      <c r="J87" s="132">
        <f>SUM(Tablo18[[#This Row],[TOPLAM]:[0,20%]])</f>
        <v>11880</v>
      </c>
      <c r="K87" s="132">
        <f>Tablo18[[#This Row],[TOPLAM]]*0.1</f>
        <v>990</v>
      </c>
      <c r="L87" s="132">
        <f>Tablo18[[#This Row],[TOPLAM]]+Tablo18[[#This Row],[0,20%]]-Tablo18[[#This Row],[0,10%]]</f>
        <v>10890</v>
      </c>
    </row>
    <row r="88" spans="1:12" hidden="1" x14ac:dyDescent="0.25">
      <c r="A88" s="130" t="s">
        <v>75</v>
      </c>
      <c r="B88" s="130" t="s">
        <v>85</v>
      </c>
      <c r="C88" s="130" t="s">
        <v>86</v>
      </c>
      <c r="D88" s="130" t="s">
        <v>87</v>
      </c>
      <c r="E88" s="130" t="s">
        <v>47</v>
      </c>
      <c r="F88" s="130">
        <v>43</v>
      </c>
      <c r="G88" s="131">
        <v>900</v>
      </c>
      <c r="H88" s="132">
        <f>Tablo18[[#This Row],[GÜN
TEK]]*Tablo18[[#This Row],[TUTAR]]</f>
        <v>38700</v>
      </c>
      <c r="I88" s="132">
        <f>Tablo18[[#This Row],[TOPLAM]]*0.2</f>
        <v>7740</v>
      </c>
      <c r="J88" s="132">
        <f>SUM(Tablo18[[#This Row],[TOPLAM]:[0,20%]])</f>
        <v>46440</v>
      </c>
      <c r="K88" s="132">
        <f>Tablo18[[#This Row],[TOPLAM]]*0.1</f>
        <v>3870</v>
      </c>
      <c r="L88" s="132">
        <f>Tablo18[[#This Row],[TOPLAM]]+Tablo18[[#This Row],[0,20%]]-Tablo18[[#This Row],[0,10%]]</f>
        <v>42570</v>
      </c>
    </row>
    <row r="89" spans="1:12" hidden="1" x14ac:dyDescent="0.25">
      <c r="A89" s="130" t="s">
        <v>75</v>
      </c>
      <c r="B89" s="130" t="s">
        <v>379</v>
      </c>
      <c r="C89" s="130" t="s">
        <v>89</v>
      </c>
      <c r="D89" s="130" t="s">
        <v>90</v>
      </c>
      <c r="E89" s="130" t="s">
        <v>77</v>
      </c>
      <c r="F89" s="130">
        <v>42</v>
      </c>
      <c r="G89" s="131">
        <v>1100</v>
      </c>
      <c r="H89" s="132">
        <f>Tablo18[[#This Row],[GÜN
TEK]]*Tablo18[[#This Row],[TUTAR]]</f>
        <v>46200</v>
      </c>
      <c r="I89" s="132">
        <f>Tablo18[[#This Row],[TOPLAM]]*0.2</f>
        <v>9240</v>
      </c>
      <c r="J89" s="132">
        <f>SUM(Tablo18[[#This Row],[TOPLAM]:[0,20%]])</f>
        <v>55440</v>
      </c>
      <c r="K89" s="132">
        <f>Tablo18[[#This Row],[TOPLAM]]*0.1</f>
        <v>4620</v>
      </c>
      <c r="L89" s="132">
        <f>Tablo18[[#This Row],[TOPLAM]]+Tablo18[[#This Row],[0,20%]]-Tablo18[[#This Row],[0,10%]]</f>
        <v>50820</v>
      </c>
    </row>
    <row r="90" spans="1:12" hidden="1" x14ac:dyDescent="0.25">
      <c r="A90" s="130" t="s">
        <v>75</v>
      </c>
      <c r="B90" s="130" t="s">
        <v>379</v>
      </c>
      <c r="C90" s="130" t="s">
        <v>89</v>
      </c>
      <c r="D90" s="130" t="s">
        <v>90</v>
      </c>
      <c r="E90" s="130" t="s">
        <v>47</v>
      </c>
      <c r="F90" s="130">
        <v>8</v>
      </c>
      <c r="G90" s="131">
        <v>900</v>
      </c>
      <c r="H90" s="132">
        <f>Tablo18[[#This Row],[GÜN
TEK]]*Tablo18[[#This Row],[TUTAR]]</f>
        <v>7200</v>
      </c>
      <c r="I90" s="132">
        <f>Tablo18[[#This Row],[TOPLAM]]*0.2</f>
        <v>1440</v>
      </c>
      <c r="J90" s="132">
        <f>SUM(Tablo18[[#This Row],[TOPLAM]:[0,20%]])</f>
        <v>8640</v>
      </c>
      <c r="K90" s="132">
        <f>Tablo18[[#This Row],[TOPLAM]]*0.1</f>
        <v>720</v>
      </c>
      <c r="L90" s="132">
        <f>Tablo18[[#This Row],[TOPLAM]]+Tablo18[[#This Row],[0,20%]]-Tablo18[[#This Row],[0,10%]]</f>
        <v>7920</v>
      </c>
    </row>
    <row r="91" spans="1:12" hidden="1" x14ac:dyDescent="0.25">
      <c r="A91" s="130" t="s">
        <v>75</v>
      </c>
      <c r="B91" s="130" t="s">
        <v>91</v>
      </c>
      <c r="C91" s="130" t="s">
        <v>89</v>
      </c>
      <c r="D91" s="130" t="s">
        <v>380</v>
      </c>
      <c r="E91" s="130" t="s">
        <v>77</v>
      </c>
      <c r="G91" s="131">
        <v>1250</v>
      </c>
      <c r="H91" s="132">
        <f>Tablo18[[#This Row],[GÜN
TEK]]*Tablo18[[#This Row],[TUTAR]]</f>
        <v>0</v>
      </c>
      <c r="I91" s="132">
        <f>Tablo18[[#This Row],[TOPLAM]]*0.2</f>
        <v>0</v>
      </c>
      <c r="J91" s="132">
        <f>SUM(Tablo18[[#This Row],[TOPLAM]:[0,20%]])</f>
        <v>0</v>
      </c>
      <c r="K91" s="132">
        <f>Tablo18[[#This Row],[TOPLAM]]*0.1</f>
        <v>0</v>
      </c>
      <c r="L91" s="132">
        <f>Tablo18[[#This Row],[TOPLAM]]+Tablo18[[#This Row],[0,20%]]-Tablo18[[#This Row],[0,10%]]</f>
        <v>0</v>
      </c>
    </row>
    <row r="92" spans="1:12" hidden="1" x14ac:dyDescent="0.25">
      <c r="A92" s="130" t="s">
        <v>75</v>
      </c>
      <c r="B92" s="130" t="s">
        <v>91</v>
      </c>
      <c r="C92" s="130" t="s">
        <v>89</v>
      </c>
      <c r="D92" s="130" t="s">
        <v>380</v>
      </c>
      <c r="E92" s="130" t="s">
        <v>47</v>
      </c>
      <c r="F92" s="130">
        <v>32</v>
      </c>
      <c r="G92" s="131">
        <v>1000</v>
      </c>
      <c r="H92" s="132">
        <f>Tablo18[[#This Row],[GÜN
TEK]]*Tablo18[[#This Row],[TUTAR]]</f>
        <v>32000</v>
      </c>
      <c r="I92" s="132">
        <f>Tablo18[[#This Row],[TOPLAM]]*0.2</f>
        <v>6400</v>
      </c>
      <c r="J92" s="132">
        <f>SUM(Tablo18[[#This Row],[TOPLAM]:[0,20%]])</f>
        <v>38400</v>
      </c>
      <c r="K92" s="132">
        <f>Tablo18[[#This Row],[TOPLAM]]*0.1</f>
        <v>3200</v>
      </c>
      <c r="L92" s="132">
        <f>Tablo18[[#This Row],[TOPLAM]]+Tablo18[[#This Row],[0,20%]]-Tablo18[[#This Row],[0,10%]]</f>
        <v>35200</v>
      </c>
    </row>
    <row r="93" spans="1:12" hidden="1" x14ac:dyDescent="0.25">
      <c r="A93" s="130" t="s">
        <v>75</v>
      </c>
      <c r="B93" s="130" t="s">
        <v>92</v>
      </c>
      <c r="C93" s="130" t="s">
        <v>136</v>
      </c>
      <c r="D93" s="130" t="s">
        <v>93</v>
      </c>
      <c r="E93" s="130" t="s">
        <v>77</v>
      </c>
      <c r="F93" s="130">
        <v>46</v>
      </c>
      <c r="G93" s="131">
        <v>1100</v>
      </c>
      <c r="H93" s="132">
        <f>Tablo18[[#This Row],[GÜN
TEK]]*Tablo18[[#This Row],[TUTAR]]</f>
        <v>50600</v>
      </c>
      <c r="I93" s="132">
        <f>Tablo18[[#This Row],[TOPLAM]]*0.2</f>
        <v>10120</v>
      </c>
      <c r="J93" s="132">
        <f>SUM(Tablo18[[#This Row],[TOPLAM]:[0,20%]])</f>
        <v>60720</v>
      </c>
      <c r="K93" s="132">
        <f>Tablo18[[#This Row],[TOPLAM]]*0.1</f>
        <v>5060</v>
      </c>
      <c r="L93" s="132">
        <f>Tablo18[[#This Row],[TOPLAM]]+Tablo18[[#This Row],[0,20%]]-Tablo18[[#This Row],[0,10%]]</f>
        <v>55660</v>
      </c>
    </row>
    <row r="94" spans="1:12" hidden="1" x14ac:dyDescent="0.25">
      <c r="A94" s="130" t="s">
        <v>75</v>
      </c>
      <c r="B94" s="130" t="s">
        <v>92</v>
      </c>
      <c r="C94" s="130" t="s">
        <v>136</v>
      </c>
      <c r="D94" s="130" t="s">
        <v>93</v>
      </c>
      <c r="E94" s="130" t="s">
        <v>47</v>
      </c>
      <c r="F94" s="130">
        <v>27</v>
      </c>
      <c r="G94" s="131">
        <v>900</v>
      </c>
      <c r="H94" s="132">
        <f>Tablo18[[#This Row],[GÜN
TEK]]*Tablo18[[#This Row],[TUTAR]]</f>
        <v>24300</v>
      </c>
      <c r="I94" s="132">
        <f>Tablo18[[#This Row],[TOPLAM]]*0.2</f>
        <v>4860</v>
      </c>
      <c r="J94" s="132">
        <f>SUM(Tablo18[[#This Row],[TOPLAM]:[0,20%]])</f>
        <v>29160</v>
      </c>
      <c r="K94" s="132">
        <f>Tablo18[[#This Row],[TOPLAM]]*0.1</f>
        <v>2430</v>
      </c>
      <c r="L94" s="132">
        <f>Tablo18[[#This Row],[TOPLAM]]+Tablo18[[#This Row],[0,20%]]-Tablo18[[#This Row],[0,10%]]</f>
        <v>26730</v>
      </c>
    </row>
    <row r="95" spans="1:12" hidden="1" x14ac:dyDescent="0.25">
      <c r="A95" s="130" t="s">
        <v>75</v>
      </c>
      <c r="B95" s="130" t="s">
        <v>381</v>
      </c>
      <c r="C95" s="130" t="s">
        <v>527</v>
      </c>
      <c r="D95" s="130" t="s">
        <v>382</v>
      </c>
      <c r="E95" s="130" t="s">
        <v>77</v>
      </c>
      <c r="F95" s="130">
        <v>11</v>
      </c>
      <c r="G95" s="131">
        <v>1250</v>
      </c>
      <c r="H95" s="132">
        <f>Tablo18[[#This Row],[GÜN
TEK]]*Tablo18[[#This Row],[TUTAR]]</f>
        <v>13750</v>
      </c>
      <c r="I95" s="132">
        <f>Tablo18[[#This Row],[TOPLAM]]*0.2</f>
        <v>2750</v>
      </c>
      <c r="J95" s="132">
        <f>SUM(Tablo18[[#This Row],[TOPLAM]:[0,20%]])</f>
        <v>16500</v>
      </c>
      <c r="K95" s="132">
        <f>Tablo18[[#This Row],[TOPLAM]]*0.1</f>
        <v>1375</v>
      </c>
      <c r="L95" s="132">
        <f>Tablo18[[#This Row],[TOPLAM]]+Tablo18[[#This Row],[0,20%]]-Tablo18[[#This Row],[0,10%]]</f>
        <v>15125</v>
      </c>
    </row>
    <row r="96" spans="1:12" hidden="1" x14ac:dyDescent="0.25">
      <c r="A96" s="130" t="s">
        <v>75</v>
      </c>
      <c r="B96" s="130" t="s">
        <v>381</v>
      </c>
      <c r="C96" s="130" t="s">
        <v>527</v>
      </c>
      <c r="D96" s="130" t="s">
        <v>382</v>
      </c>
      <c r="E96" s="130" t="s">
        <v>47</v>
      </c>
      <c r="F96" s="130">
        <v>42</v>
      </c>
      <c r="G96" s="131">
        <v>975</v>
      </c>
      <c r="H96" s="132">
        <f>Tablo18[[#This Row],[GÜN
TEK]]*Tablo18[[#This Row],[TUTAR]]</f>
        <v>40950</v>
      </c>
      <c r="I96" s="132">
        <f>Tablo18[[#This Row],[TOPLAM]]*0.2</f>
        <v>8190</v>
      </c>
      <c r="J96" s="132">
        <f>SUM(Tablo18[[#This Row],[TOPLAM]:[0,20%]])</f>
        <v>49140</v>
      </c>
      <c r="K96" s="132">
        <f>Tablo18[[#This Row],[TOPLAM]]*0.1</f>
        <v>4095</v>
      </c>
      <c r="L96" s="132">
        <f>Tablo18[[#This Row],[TOPLAM]]+Tablo18[[#This Row],[0,20%]]-Tablo18[[#This Row],[0,10%]]</f>
        <v>45045</v>
      </c>
    </row>
    <row r="97" spans="1:12" hidden="1" x14ac:dyDescent="0.25">
      <c r="A97" s="130" t="s">
        <v>75</v>
      </c>
      <c r="B97" s="130" t="s">
        <v>88</v>
      </c>
      <c r="C97" s="130" t="s">
        <v>528</v>
      </c>
      <c r="D97" s="130" t="s">
        <v>137</v>
      </c>
      <c r="E97" s="130" t="s">
        <v>77</v>
      </c>
      <c r="F97" s="130">
        <v>10</v>
      </c>
      <c r="G97" s="131">
        <v>1100</v>
      </c>
      <c r="H97" s="132">
        <f>Tablo18[[#This Row],[GÜN
TEK]]*Tablo18[[#This Row],[TUTAR]]</f>
        <v>11000</v>
      </c>
      <c r="I97" s="132">
        <f>Tablo18[[#This Row],[TOPLAM]]*0.2</f>
        <v>2200</v>
      </c>
      <c r="J97" s="132">
        <f>SUM(Tablo18[[#This Row],[TOPLAM]:[0,20%]])</f>
        <v>13200</v>
      </c>
      <c r="K97" s="132">
        <f>Tablo18[[#This Row],[TOPLAM]]*0.1</f>
        <v>1100</v>
      </c>
      <c r="L97" s="132">
        <f>Tablo18[[#This Row],[TOPLAM]]+Tablo18[[#This Row],[0,20%]]-Tablo18[[#This Row],[0,10%]]</f>
        <v>12100</v>
      </c>
    </row>
    <row r="98" spans="1:12" hidden="1" x14ac:dyDescent="0.25">
      <c r="A98" s="130" t="s">
        <v>75</v>
      </c>
      <c r="B98" s="130" t="s">
        <v>88</v>
      </c>
      <c r="C98" s="130" t="s">
        <v>528</v>
      </c>
      <c r="D98" s="130" t="s">
        <v>137</v>
      </c>
      <c r="E98" s="130" t="s">
        <v>47</v>
      </c>
      <c r="F98" s="130">
        <v>39</v>
      </c>
      <c r="G98" s="131">
        <v>900</v>
      </c>
      <c r="H98" s="132">
        <f>Tablo18[[#This Row],[GÜN
TEK]]*Tablo18[[#This Row],[TUTAR]]</f>
        <v>35100</v>
      </c>
      <c r="I98" s="132">
        <f>Tablo18[[#This Row],[TOPLAM]]*0.2</f>
        <v>7020</v>
      </c>
      <c r="J98" s="132">
        <f>SUM(Tablo18[[#This Row],[TOPLAM]:[0,20%]])</f>
        <v>42120</v>
      </c>
      <c r="K98" s="132">
        <f>Tablo18[[#This Row],[TOPLAM]]*0.1</f>
        <v>3510</v>
      </c>
      <c r="L98" s="132">
        <f>Tablo18[[#This Row],[TOPLAM]]+Tablo18[[#This Row],[0,20%]]-Tablo18[[#This Row],[0,10%]]</f>
        <v>38610</v>
      </c>
    </row>
    <row r="99" spans="1:12" hidden="1" x14ac:dyDescent="0.25">
      <c r="A99" s="130" t="s">
        <v>75</v>
      </c>
      <c r="B99" s="130" t="s">
        <v>515</v>
      </c>
      <c r="C99" s="130" t="s">
        <v>86</v>
      </c>
      <c r="D99" s="130" t="s">
        <v>87</v>
      </c>
      <c r="E99" s="130" t="s">
        <v>47</v>
      </c>
      <c r="G99" s="131">
        <v>1400</v>
      </c>
      <c r="H99" s="132">
        <f>Tablo18[[#This Row],[GÜN
TEK]]*Tablo18[[#This Row],[TUTAR]]</f>
        <v>0</v>
      </c>
      <c r="I99" s="132">
        <f>Tablo18[[#This Row],[TOPLAM]]*0.2</f>
        <v>0</v>
      </c>
      <c r="J99" s="132">
        <f>SUM(Tablo18[[#This Row],[TOPLAM]:[0,20%]])</f>
        <v>0</v>
      </c>
      <c r="K99" s="132">
        <f>Tablo18[[#This Row],[TOPLAM]]*0.1</f>
        <v>0</v>
      </c>
      <c r="L99" s="132">
        <f>Tablo18[[#This Row],[TOPLAM]]+Tablo18[[#This Row],[0,20%]]-Tablo18[[#This Row],[0,10%]]</f>
        <v>0</v>
      </c>
    </row>
    <row r="100" spans="1:12" hidden="1" x14ac:dyDescent="0.25">
      <c r="A100" s="130" t="s">
        <v>75</v>
      </c>
      <c r="B100" s="130" t="s">
        <v>20</v>
      </c>
      <c r="C100" s="130" t="s">
        <v>21</v>
      </c>
      <c r="D100" s="130" t="s">
        <v>99</v>
      </c>
      <c r="E100" s="130" t="s">
        <v>77</v>
      </c>
      <c r="F100" s="130">
        <v>45</v>
      </c>
      <c r="G100" s="131">
        <v>1250</v>
      </c>
      <c r="H100" s="132">
        <f>Tablo18[[#This Row],[GÜN
TEK]]*Tablo18[[#This Row],[TUTAR]]</f>
        <v>56250</v>
      </c>
      <c r="I100" s="132">
        <f>Tablo18[[#This Row],[TOPLAM]]*0.2</f>
        <v>11250</v>
      </c>
      <c r="J100" s="132">
        <f>SUM(Tablo18[[#This Row],[TOPLAM]:[0,20%]])</f>
        <v>67500</v>
      </c>
      <c r="K100" s="132">
        <f>Tablo18[[#This Row],[TOPLAM]]*0.1</f>
        <v>5625</v>
      </c>
      <c r="L100" s="132">
        <f>Tablo18[[#This Row],[TOPLAM]]+Tablo18[[#This Row],[0,20%]]-Tablo18[[#This Row],[0,10%]]</f>
        <v>61875</v>
      </c>
    </row>
    <row r="101" spans="1:12" hidden="1" x14ac:dyDescent="0.25">
      <c r="A101" s="130" t="s">
        <v>75</v>
      </c>
      <c r="B101" s="130" t="s">
        <v>20</v>
      </c>
      <c r="C101" s="130" t="s">
        <v>21</v>
      </c>
      <c r="D101" s="130" t="s">
        <v>99</v>
      </c>
      <c r="E101" s="130" t="s">
        <v>47</v>
      </c>
      <c r="F101" s="130">
        <v>13</v>
      </c>
      <c r="G101" s="131">
        <v>1175</v>
      </c>
      <c r="H101" s="132">
        <f>Tablo18[[#This Row],[GÜN
TEK]]*Tablo18[[#This Row],[TUTAR]]</f>
        <v>15275</v>
      </c>
      <c r="I101" s="132">
        <f>Tablo18[[#This Row],[TOPLAM]]*0.2</f>
        <v>3055</v>
      </c>
      <c r="J101" s="132">
        <f>SUM(Tablo18[[#This Row],[TOPLAM]:[0,20%]])</f>
        <v>18330</v>
      </c>
      <c r="K101" s="132">
        <f>Tablo18[[#This Row],[TOPLAM]]*0.1</f>
        <v>1527.5</v>
      </c>
      <c r="L101" s="132">
        <f>Tablo18[[#This Row],[TOPLAM]]+Tablo18[[#This Row],[0,20%]]-Tablo18[[#This Row],[0,10%]]</f>
        <v>16802.5</v>
      </c>
    </row>
    <row r="102" spans="1:12" ht="16.2" hidden="1" thickTop="1" thickBot="1" x14ac:dyDescent="0.3">
      <c r="G102" s="130"/>
      <c r="H102" s="169">
        <f>SUBTOTAL(109,H79:H101)</f>
        <v>86500</v>
      </c>
      <c r="I102" s="169">
        <f>Tablo18[[#This Row],[TOPLAM]]*0.2</f>
        <v>17300</v>
      </c>
      <c r="J102" s="169">
        <f>SUM(Tablo18[[#This Row],[TOPLAM]:[0,20%]])</f>
        <v>103800</v>
      </c>
      <c r="K102" s="169">
        <f>Tablo18[[#This Row],[TOPLAM]]*0.1</f>
        <v>8650</v>
      </c>
      <c r="L102" s="169">
        <f>Tablo18[[#This Row],[TOPLAM]]+Tablo18[[#This Row],[0,20%]]-Tablo18[[#This Row],[0,10%]]</f>
        <v>95150</v>
      </c>
    </row>
    <row r="104" spans="1:12" s="128" customFormat="1" ht="28.2" customHeight="1" thickBot="1" x14ac:dyDescent="0.35">
      <c r="A104" s="145" t="s">
        <v>202</v>
      </c>
      <c r="B104" s="145" t="s">
        <v>327</v>
      </c>
      <c r="C104" s="145" t="s">
        <v>0</v>
      </c>
      <c r="D104" s="145" t="s">
        <v>1</v>
      </c>
      <c r="E104" s="145" t="s">
        <v>326</v>
      </c>
      <c r="F104" s="146" t="s">
        <v>328</v>
      </c>
      <c r="G104" s="147" t="s">
        <v>2</v>
      </c>
      <c r="H104" s="147" t="s">
        <v>3</v>
      </c>
      <c r="I104" s="147" t="s">
        <v>229</v>
      </c>
      <c r="J104" s="147" t="s">
        <v>4</v>
      </c>
      <c r="K104" s="147" t="s">
        <v>228</v>
      </c>
      <c r="L104" s="147" t="s">
        <v>5</v>
      </c>
    </row>
    <row r="105" spans="1:12" x14ac:dyDescent="0.25">
      <c r="A105" s="130" t="s">
        <v>102</v>
      </c>
      <c r="B105" s="130" t="s">
        <v>383</v>
      </c>
      <c r="C105" s="130" t="s">
        <v>7</v>
      </c>
      <c r="D105" s="130" t="s">
        <v>8</v>
      </c>
      <c r="E105" s="130" t="s">
        <v>325</v>
      </c>
      <c r="F105" s="130">
        <v>18</v>
      </c>
      <c r="G105" s="131">
        <v>2900</v>
      </c>
      <c r="H105" s="132">
        <f>Tablo7[[#This Row],[GÜN
TEK]]*Tablo7[[#This Row],[TUTAR]]</f>
        <v>52200</v>
      </c>
      <c r="I105" s="132">
        <f>Tablo7[[#This Row],[TOPLAM]]*0.2</f>
        <v>10440</v>
      </c>
      <c r="J105" s="132">
        <f>SUM(Tablo7[[#This Row],[TOPLAM]:[0,20%]])</f>
        <v>62640</v>
      </c>
      <c r="K105" s="132">
        <f>Tablo7[[#This Row],[TOPLAM]]*0.1</f>
        <v>5220</v>
      </c>
      <c r="L105" s="132">
        <f>Tablo7[[#This Row],[TOPLAM]]+Tablo7[[#This Row],[0,20%]]-Tablo7[[#This Row],[0,10%]]</f>
        <v>57420</v>
      </c>
    </row>
    <row r="106" spans="1:12" x14ac:dyDescent="0.25">
      <c r="A106" s="130" t="s">
        <v>102</v>
      </c>
      <c r="B106" s="130" t="s">
        <v>383</v>
      </c>
      <c r="C106" s="130" t="s">
        <v>7</v>
      </c>
      <c r="D106" s="130" t="s">
        <v>8</v>
      </c>
      <c r="E106" s="130" t="s">
        <v>560</v>
      </c>
      <c r="F106" s="130">
        <v>14</v>
      </c>
      <c r="G106" s="131">
        <v>1750</v>
      </c>
      <c r="H106" s="132">
        <f>Tablo7[[#This Row],[GÜN
TEK]]*Tablo7[[#This Row],[TUTAR]]</f>
        <v>24500</v>
      </c>
      <c r="I106" s="132">
        <f>Tablo7[[#This Row],[TOPLAM]]*0.2</f>
        <v>4900</v>
      </c>
      <c r="J106" s="132">
        <f>SUM(Tablo7[[#This Row],[TOPLAM]:[0,20%]])</f>
        <v>29400</v>
      </c>
      <c r="K106" s="132">
        <f>Tablo7[[#This Row],[TOPLAM]]*0.1</f>
        <v>2450</v>
      </c>
      <c r="L106" s="132">
        <f>Tablo7[[#This Row],[TOPLAM]]+Tablo7[[#This Row],[0,20%]]-Tablo7[[#This Row],[0,10%]]</f>
        <v>26950</v>
      </c>
    </row>
    <row r="107" spans="1:12" x14ac:dyDescent="0.25">
      <c r="A107" s="130" t="s">
        <v>102</v>
      </c>
      <c r="B107" s="130" t="s">
        <v>383</v>
      </c>
      <c r="C107" s="130" t="s">
        <v>7</v>
      </c>
      <c r="D107" s="130" t="s">
        <v>8</v>
      </c>
      <c r="E107" s="130" t="s">
        <v>559</v>
      </c>
      <c r="F107" s="130">
        <v>14</v>
      </c>
      <c r="G107" s="131">
        <v>1750</v>
      </c>
      <c r="H107" s="132">
        <f>Tablo7[[#This Row],[GÜN
TEK]]*Tablo7[[#This Row],[TUTAR]]</f>
        <v>24500</v>
      </c>
      <c r="I107" s="132">
        <f>Tablo7[[#This Row],[TOPLAM]]*0.2</f>
        <v>4900</v>
      </c>
      <c r="J107" s="132">
        <f>SUM(Tablo7[[#This Row],[TOPLAM]:[0,20%]])</f>
        <v>29400</v>
      </c>
      <c r="K107" s="132">
        <f>Tablo7[[#This Row],[TOPLAM]]*0.1</f>
        <v>2450</v>
      </c>
      <c r="L107" s="132">
        <f>Tablo7[[#This Row],[TOPLAM]]+Tablo7[[#This Row],[0,20%]]-Tablo7[[#This Row],[0,10%]]</f>
        <v>26950</v>
      </c>
    </row>
    <row r="108" spans="1:12" x14ac:dyDescent="0.25">
      <c r="A108" s="130" t="s">
        <v>102</v>
      </c>
      <c r="B108" s="130" t="s">
        <v>383</v>
      </c>
      <c r="C108" s="130" t="s">
        <v>7</v>
      </c>
      <c r="D108" s="130" t="s">
        <v>8</v>
      </c>
      <c r="E108" s="130" t="s">
        <v>28</v>
      </c>
      <c r="F108" s="130">
        <v>11</v>
      </c>
      <c r="G108" s="131">
        <v>1250</v>
      </c>
      <c r="H108" s="132">
        <f>Tablo7[[#This Row],[GÜN
TEK]]*Tablo7[[#This Row],[TUTAR]]</f>
        <v>13750</v>
      </c>
      <c r="I108" s="132">
        <f>Tablo7[[#This Row],[TOPLAM]]*0.2</f>
        <v>2750</v>
      </c>
      <c r="J108" s="132">
        <f>SUM(Tablo7[[#This Row],[TOPLAM]:[0,20%]])</f>
        <v>16500</v>
      </c>
      <c r="K108" s="132">
        <f>Tablo7[[#This Row],[TOPLAM]]*0.1</f>
        <v>1375</v>
      </c>
      <c r="L108" s="132">
        <f>Tablo7[[#This Row],[TOPLAM]]+Tablo7[[#This Row],[0,20%]]-Tablo7[[#This Row],[0,10%]]</f>
        <v>15125</v>
      </c>
    </row>
    <row r="109" spans="1:12" x14ac:dyDescent="0.25">
      <c r="A109" s="130" t="s">
        <v>102</v>
      </c>
      <c r="B109" s="130" t="s">
        <v>144</v>
      </c>
      <c r="C109" s="130" t="s">
        <v>7</v>
      </c>
      <c r="E109" s="130" t="s">
        <v>28</v>
      </c>
      <c r="G109" s="131">
        <v>1750</v>
      </c>
      <c r="H109" s="132">
        <f>Tablo7[[#This Row],[GÜN
TEK]]*Tablo7[[#This Row],[TUTAR]]</f>
        <v>0</v>
      </c>
      <c r="I109" s="132">
        <f>Tablo7[[#This Row],[TOPLAM]]*0.2</f>
        <v>0</v>
      </c>
      <c r="J109" s="132">
        <f>SUM(Tablo7[[#This Row],[TOPLAM]:[0,20%]])</f>
        <v>0</v>
      </c>
      <c r="K109" s="132">
        <f>Tablo7[[#This Row],[TOPLAM]]*0.1</f>
        <v>0</v>
      </c>
      <c r="L109" s="132">
        <f>Tablo7[[#This Row],[TOPLAM]]+Tablo7[[#This Row],[0,20%]]-Tablo7[[#This Row],[0,10%]]</f>
        <v>0</v>
      </c>
    </row>
    <row r="110" spans="1:12" x14ac:dyDescent="0.25">
      <c r="A110" s="130" t="s">
        <v>102</v>
      </c>
      <c r="B110" s="130" t="s">
        <v>144</v>
      </c>
      <c r="C110" s="130" t="s">
        <v>7</v>
      </c>
      <c r="E110" s="130" t="s">
        <v>10</v>
      </c>
      <c r="G110" s="131">
        <v>1750</v>
      </c>
      <c r="H110" s="132">
        <f>Tablo7[[#This Row],[GÜN
TEK]]*Tablo7[[#This Row],[TUTAR]]</f>
        <v>0</v>
      </c>
      <c r="I110" s="132">
        <f>Tablo7[[#This Row],[TOPLAM]]*0.2</f>
        <v>0</v>
      </c>
      <c r="J110" s="132">
        <f>SUM(Tablo7[[#This Row],[TOPLAM]:[0,20%]])</f>
        <v>0</v>
      </c>
      <c r="K110" s="132">
        <f>Tablo7[[#This Row],[TOPLAM]]*0.1</f>
        <v>0</v>
      </c>
      <c r="L110" s="132">
        <f>Tablo7[[#This Row],[TOPLAM]]+Tablo7[[#This Row],[0,20%]]-Tablo7[[#This Row],[0,10%]]</f>
        <v>0</v>
      </c>
    </row>
    <row r="111" spans="1:12" x14ac:dyDescent="0.25">
      <c r="A111" s="130" t="s">
        <v>102</v>
      </c>
      <c r="B111" s="130" t="s">
        <v>144</v>
      </c>
      <c r="C111" s="130" t="s">
        <v>7</v>
      </c>
      <c r="E111" s="130" t="s">
        <v>325</v>
      </c>
      <c r="F111" s="130">
        <v>18</v>
      </c>
      <c r="G111" s="131">
        <v>2900</v>
      </c>
      <c r="H111" s="132">
        <f>Tablo7[[#This Row],[GÜN
TEK]]*Tablo7[[#This Row],[TUTAR]]</f>
        <v>52200</v>
      </c>
      <c r="I111" s="132">
        <f>Tablo7[[#This Row],[TOPLAM]]*0.2</f>
        <v>10440</v>
      </c>
      <c r="J111" s="132">
        <f>SUM(Tablo7[[#This Row],[TOPLAM]:[0,20%]])</f>
        <v>62640</v>
      </c>
      <c r="K111" s="132">
        <f>Tablo7[[#This Row],[TOPLAM]]*0.1</f>
        <v>5220</v>
      </c>
      <c r="L111" s="132">
        <f>Tablo7[[#This Row],[TOPLAM]]+Tablo7[[#This Row],[0,20%]]-Tablo7[[#This Row],[0,10%]]</f>
        <v>57420</v>
      </c>
    </row>
    <row r="112" spans="1:12" hidden="1" x14ac:dyDescent="0.25">
      <c r="A112" s="130" t="s">
        <v>102</v>
      </c>
      <c r="B112" s="130" t="s">
        <v>385</v>
      </c>
      <c r="C112" s="130" t="s">
        <v>104</v>
      </c>
      <c r="D112" s="130" t="s">
        <v>295</v>
      </c>
      <c r="E112" s="130" t="s">
        <v>325</v>
      </c>
      <c r="F112" s="130">
        <v>18</v>
      </c>
      <c r="G112" s="131">
        <v>2400</v>
      </c>
      <c r="H112" s="132">
        <f>Tablo7[[#This Row],[GÜN
TEK]]*Tablo7[[#This Row],[TUTAR]]</f>
        <v>43200</v>
      </c>
      <c r="I112" s="132">
        <f>Tablo7[[#This Row],[TOPLAM]]*0.2</f>
        <v>8640</v>
      </c>
      <c r="J112" s="132">
        <f>SUM(Tablo7[[#This Row],[TOPLAM]:[0,20%]])</f>
        <v>51840</v>
      </c>
      <c r="K112" s="132">
        <f>Tablo7[[#This Row],[TOPLAM]]*0.1</f>
        <v>4320</v>
      </c>
      <c r="L112" s="132">
        <f>Tablo7[[#This Row],[TOPLAM]]+Tablo7[[#This Row],[0,20%]]-Tablo7[[#This Row],[0,10%]]</f>
        <v>47520</v>
      </c>
    </row>
    <row r="113" spans="1:12" hidden="1" x14ac:dyDescent="0.25">
      <c r="A113" s="130" t="s">
        <v>102</v>
      </c>
      <c r="B113" s="130" t="s">
        <v>385</v>
      </c>
      <c r="C113" s="130" t="s">
        <v>104</v>
      </c>
      <c r="D113" s="130" t="s">
        <v>295</v>
      </c>
      <c r="E113" s="130" t="s">
        <v>10</v>
      </c>
      <c r="G113" s="131">
        <v>1500</v>
      </c>
      <c r="H113" s="132">
        <f>Tablo7[[#This Row],[GÜN
TEK]]*Tablo7[[#This Row],[TUTAR]]</f>
        <v>0</v>
      </c>
      <c r="I113" s="132">
        <f>Tablo7[[#This Row],[TOPLAM]]*0.2</f>
        <v>0</v>
      </c>
      <c r="J113" s="132">
        <f>SUM(Tablo7[[#This Row],[TOPLAM]:[0,20%]])</f>
        <v>0</v>
      </c>
      <c r="K113" s="132">
        <f>Tablo7[[#This Row],[TOPLAM]]*0.1</f>
        <v>0</v>
      </c>
      <c r="L113" s="132">
        <f>Tablo7[[#This Row],[TOPLAM]]+Tablo7[[#This Row],[0,20%]]-Tablo7[[#This Row],[0,10%]]</f>
        <v>0</v>
      </c>
    </row>
    <row r="114" spans="1:12" hidden="1" x14ac:dyDescent="0.25">
      <c r="A114" s="130" t="s">
        <v>102</v>
      </c>
      <c r="B114" s="130" t="s">
        <v>386</v>
      </c>
      <c r="C114" s="130" t="s">
        <v>105</v>
      </c>
      <c r="D114" s="130" t="s">
        <v>295</v>
      </c>
      <c r="E114" s="130" t="s">
        <v>325</v>
      </c>
      <c r="F114" s="130">
        <v>18</v>
      </c>
      <c r="G114" s="131">
        <v>2400</v>
      </c>
      <c r="H114" s="132">
        <f>Tablo7[[#This Row],[GÜN
TEK]]*Tablo7[[#This Row],[TUTAR]]</f>
        <v>43200</v>
      </c>
      <c r="I114" s="132">
        <f>Tablo7[[#This Row],[TOPLAM]]*0.2</f>
        <v>8640</v>
      </c>
      <c r="J114" s="132">
        <f>SUM(Tablo7[[#This Row],[TOPLAM]:[0,20%]])</f>
        <v>51840</v>
      </c>
      <c r="K114" s="132">
        <f>Tablo7[[#This Row],[TOPLAM]]*0.1</f>
        <v>4320</v>
      </c>
      <c r="L114" s="132">
        <f>Tablo7[[#This Row],[TOPLAM]]+Tablo7[[#This Row],[0,20%]]-Tablo7[[#This Row],[0,10%]]</f>
        <v>47520</v>
      </c>
    </row>
    <row r="115" spans="1:12" hidden="1" x14ac:dyDescent="0.25">
      <c r="A115" s="130" t="s">
        <v>102</v>
      </c>
      <c r="B115" s="130" t="s">
        <v>387</v>
      </c>
      <c r="C115" s="130" t="s">
        <v>89</v>
      </c>
      <c r="D115" s="130" t="s">
        <v>126</v>
      </c>
      <c r="E115" s="130" t="s">
        <v>325</v>
      </c>
      <c r="F115" s="130">
        <v>14</v>
      </c>
      <c r="G115" s="131">
        <v>1800</v>
      </c>
      <c r="H115" s="132">
        <f>Tablo7[[#This Row],[GÜN
TEK]]*Tablo7[[#This Row],[TUTAR]]</f>
        <v>25200</v>
      </c>
      <c r="I115" s="132">
        <f>Tablo7[[#This Row],[TOPLAM]]*0.2</f>
        <v>5040</v>
      </c>
      <c r="J115" s="132">
        <f>SUM(Tablo7[[#This Row],[TOPLAM]:[0,20%]])</f>
        <v>30240</v>
      </c>
      <c r="K115" s="132">
        <f>Tablo7[[#This Row],[TOPLAM]]*0.1</f>
        <v>2520</v>
      </c>
      <c r="L115" s="132">
        <f>Tablo7[[#This Row],[TOPLAM]]+Tablo7[[#This Row],[0,20%]]-Tablo7[[#This Row],[0,10%]]</f>
        <v>27720</v>
      </c>
    </row>
    <row r="116" spans="1:12" hidden="1" x14ac:dyDescent="0.25">
      <c r="A116" s="130" t="s">
        <v>102</v>
      </c>
      <c r="B116" s="130" t="s">
        <v>387</v>
      </c>
      <c r="C116" s="130" t="s">
        <v>89</v>
      </c>
      <c r="D116" s="130" t="s">
        <v>126</v>
      </c>
      <c r="E116" s="130" t="s">
        <v>10</v>
      </c>
      <c r="F116" s="130">
        <v>40</v>
      </c>
      <c r="G116" s="131">
        <v>1250</v>
      </c>
      <c r="H116" s="132">
        <f>Tablo7[[#This Row],[GÜN
TEK]]*Tablo7[[#This Row],[TUTAR]]</f>
        <v>50000</v>
      </c>
      <c r="I116" s="132">
        <f>Tablo7[[#This Row],[TOPLAM]]*0.2</f>
        <v>10000</v>
      </c>
      <c r="J116" s="132">
        <f>SUM(Tablo7[[#This Row],[TOPLAM]:[0,20%]])</f>
        <v>60000</v>
      </c>
      <c r="K116" s="132">
        <f>Tablo7[[#This Row],[TOPLAM]]*0.1</f>
        <v>5000</v>
      </c>
      <c r="L116" s="132">
        <f>Tablo7[[#This Row],[TOPLAM]]+Tablo7[[#This Row],[0,20%]]-Tablo7[[#This Row],[0,10%]]</f>
        <v>55000</v>
      </c>
    </row>
    <row r="117" spans="1:12" hidden="1" x14ac:dyDescent="0.25">
      <c r="A117" s="130" t="s">
        <v>102</v>
      </c>
      <c r="B117" s="130" t="s">
        <v>387</v>
      </c>
      <c r="C117" s="130" t="s">
        <v>89</v>
      </c>
      <c r="D117" s="130" t="s">
        <v>126</v>
      </c>
      <c r="E117" s="130" t="s">
        <v>28</v>
      </c>
      <c r="F117" s="130">
        <v>25</v>
      </c>
      <c r="G117" s="131">
        <v>800</v>
      </c>
      <c r="H117" s="132">
        <f>Tablo7[[#This Row],[GÜN
TEK]]*Tablo7[[#This Row],[TUTAR]]</f>
        <v>20000</v>
      </c>
      <c r="I117" s="132">
        <f>Tablo7[[#This Row],[TOPLAM]]*0.2</f>
        <v>4000</v>
      </c>
      <c r="J117" s="132">
        <f>SUM(Tablo7[[#This Row],[TOPLAM]:[0,20%]])</f>
        <v>24000</v>
      </c>
      <c r="K117" s="132">
        <f>Tablo7[[#This Row],[TOPLAM]]*0.1</f>
        <v>2000</v>
      </c>
      <c r="L117" s="132">
        <f>Tablo7[[#This Row],[TOPLAM]]+Tablo7[[#This Row],[0,20%]]-Tablo7[[#This Row],[0,10%]]</f>
        <v>22000</v>
      </c>
    </row>
    <row r="118" spans="1:12" hidden="1" x14ac:dyDescent="0.25">
      <c r="A118" s="130" t="s">
        <v>102</v>
      </c>
      <c r="B118" s="130" t="s">
        <v>388</v>
      </c>
      <c r="C118" s="130" t="s">
        <v>89</v>
      </c>
      <c r="D118" s="130" t="s">
        <v>389</v>
      </c>
      <c r="E118" s="130" t="s">
        <v>325</v>
      </c>
      <c r="F118" s="130">
        <v>18</v>
      </c>
      <c r="G118" s="131">
        <v>2300</v>
      </c>
      <c r="H118" s="132">
        <f>Tablo7[[#This Row],[GÜN
TEK]]*Tablo7[[#This Row],[TUTAR]]</f>
        <v>41400</v>
      </c>
      <c r="I118" s="132">
        <f>Tablo7[[#This Row],[TOPLAM]]*0.2</f>
        <v>8280</v>
      </c>
      <c r="J118" s="132">
        <f>SUM(Tablo7[[#This Row],[TOPLAM]:[0,20%]])</f>
        <v>49680</v>
      </c>
      <c r="K118" s="132">
        <f>Tablo7[[#This Row],[TOPLAM]]*0.1</f>
        <v>4140</v>
      </c>
      <c r="L118" s="132">
        <f>Tablo7[[#This Row],[TOPLAM]]+Tablo7[[#This Row],[0,20%]]-Tablo7[[#This Row],[0,10%]]</f>
        <v>45540</v>
      </c>
    </row>
    <row r="119" spans="1:12" hidden="1" x14ac:dyDescent="0.25">
      <c r="A119" s="130" t="s">
        <v>102</v>
      </c>
      <c r="B119" s="130" t="s">
        <v>388</v>
      </c>
      <c r="C119" s="130" t="s">
        <v>89</v>
      </c>
      <c r="D119" s="130" t="s">
        <v>389</v>
      </c>
      <c r="E119" s="130" t="s">
        <v>563</v>
      </c>
      <c r="G119" s="131">
        <v>1250</v>
      </c>
      <c r="H119" s="132">
        <f>Tablo7[[#This Row],[GÜN
TEK]]*Tablo7[[#This Row],[TUTAR]]</f>
        <v>0</v>
      </c>
      <c r="I119" s="132">
        <f>Tablo7[[#This Row],[TOPLAM]]*0.2</f>
        <v>0</v>
      </c>
      <c r="J119" s="132">
        <f>SUM(Tablo7[[#This Row],[TOPLAM]:[0,20%]])</f>
        <v>0</v>
      </c>
      <c r="K119" s="132">
        <f>Tablo7[[#This Row],[TOPLAM]]*0.1</f>
        <v>0</v>
      </c>
      <c r="L119" s="132">
        <f>Tablo7[[#This Row],[TOPLAM]]+Tablo7[[#This Row],[0,20%]]-Tablo7[[#This Row],[0,10%]]</f>
        <v>0</v>
      </c>
    </row>
    <row r="120" spans="1:12" hidden="1" x14ac:dyDescent="0.25">
      <c r="A120" s="130" t="s">
        <v>102</v>
      </c>
      <c r="B120" s="130" t="s">
        <v>390</v>
      </c>
      <c r="C120" s="130" t="s">
        <v>89</v>
      </c>
      <c r="D120" s="130" t="s">
        <v>391</v>
      </c>
      <c r="E120" s="130" t="s">
        <v>325</v>
      </c>
      <c r="G120" s="131">
        <v>1800</v>
      </c>
      <c r="H120" s="132">
        <f>Tablo7[[#This Row],[GÜN
TEK]]*Tablo7[[#This Row],[TUTAR]]</f>
        <v>0</v>
      </c>
      <c r="I120" s="132">
        <f>Tablo7[[#This Row],[TOPLAM]]*0.2</f>
        <v>0</v>
      </c>
      <c r="J120" s="132">
        <f>SUM(Tablo7[[#This Row],[TOPLAM]:[0,20%]])</f>
        <v>0</v>
      </c>
      <c r="K120" s="132">
        <f>Tablo7[[#This Row],[TOPLAM]]*0.1</f>
        <v>0</v>
      </c>
      <c r="L120" s="132">
        <f>Tablo7[[#This Row],[TOPLAM]]+Tablo7[[#This Row],[0,20%]]-Tablo7[[#This Row],[0,10%]]</f>
        <v>0</v>
      </c>
    </row>
    <row r="121" spans="1:12" hidden="1" x14ac:dyDescent="0.25">
      <c r="A121" s="130" t="s">
        <v>102</v>
      </c>
      <c r="B121" s="130" t="s">
        <v>390</v>
      </c>
      <c r="C121" s="130" t="s">
        <v>89</v>
      </c>
      <c r="D121" s="130" t="s">
        <v>391</v>
      </c>
      <c r="E121" s="130" t="s">
        <v>10</v>
      </c>
      <c r="F121" s="130">
        <v>21</v>
      </c>
      <c r="G121" s="131">
        <v>1250</v>
      </c>
      <c r="H121" s="132">
        <f>Tablo7[[#This Row],[GÜN
TEK]]*Tablo7[[#This Row],[TUTAR]]</f>
        <v>26250</v>
      </c>
      <c r="I121" s="132">
        <f>Tablo7[[#This Row],[TOPLAM]]*0.2</f>
        <v>5250</v>
      </c>
      <c r="J121" s="132">
        <f>SUM(Tablo7[[#This Row],[TOPLAM]:[0,20%]])</f>
        <v>31500</v>
      </c>
      <c r="K121" s="132">
        <f>Tablo7[[#This Row],[TOPLAM]]*0.1</f>
        <v>2625</v>
      </c>
      <c r="L121" s="132">
        <f>Tablo7[[#This Row],[TOPLAM]]+Tablo7[[#This Row],[0,20%]]-Tablo7[[#This Row],[0,10%]]</f>
        <v>28875</v>
      </c>
    </row>
    <row r="122" spans="1:12" hidden="1" x14ac:dyDescent="0.25">
      <c r="A122" s="130" t="s">
        <v>102</v>
      </c>
      <c r="B122" s="130" t="s">
        <v>562</v>
      </c>
      <c r="C122" s="130" t="s">
        <v>89</v>
      </c>
      <c r="D122" s="130" t="s">
        <v>392</v>
      </c>
      <c r="E122" s="130" t="s">
        <v>325</v>
      </c>
      <c r="F122" s="130">
        <v>18</v>
      </c>
      <c r="G122" s="131">
        <v>2300</v>
      </c>
      <c r="H122" s="132">
        <f>Tablo7[[#This Row],[GÜN
TEK]]*Tablo7[[#This Row],[TUTAR]]</f>
        <v>41400</v>
      </c>
      <c r="I122" s="132">
        <f>Tablo7[[#This Row],[TOPLAM]]*0.2</f>
        <v>8280</v>
      </c>
      <c r="J122" s="132">
        <f>SUM(Tablo7[[#This Row],[TOPLAM]:[0,20%]])</f>
        <v>49680</v>
      </c>
      <c r="K122" s="132">
        <f>Tablo7[[#This Row],[TOPLAM]]*0.1</f>
        <v>4140</v>
      </c>
      <c r="L122" s="132">
        <f>Tablo7[[#This Row],[TOPLAM]]+Tablo7[[#This Row],[0,20%]]-Tablo7[[#This Row],[0,10%]]</f>
        <v>45540</v>
      </c>
    </row>
    <row r="123" spans="1:12" hidden="1" x14ac:dyDescent="0.25">
      <c r="A123" s="130" t="s">
        <v>102</v>
      </c>
      <c r="B123" s="130" t="s">
        <v>562</v>
      </c>
      <c r="C123" s="130" t="s">
        <v>89</v>
      </c>
      <c r="D123" s="130" t="s">
        <v>389</v>
      </c>
      <c r="E123" s="130" t="s">
        <v>564</v>
      </c>
      <c r="G123" s="131">
        <v>1500</v>
      </c>
      <c r="H123" s="132">
        <f>Tablo7[[#This Row],[GÜN
TEK]]*Tablo7[[#This Row],[TUTAR]]</f>
        <v>0</v>
      </c>
      <c r="I123" s="132">
        <f>Tablo7[[#This Row],[TOPLAM]]*0.2</f>
        <v>0</v>
      </c>
      <c r="J123" s="132">
        <f>SUM(Tablo7[[#This Row],[TOPLAM]:[0,20%]])</f>
        <v>0</v>
      </c>
      <c r="K123" s="132">
        <f>Tablo7[[#This Row],[TOPLAM]]*0.1</f>
        <v>0</v>
      </c>
      <c r="L123" s="132">
        <f>Tablo7[[#This Row],[TOPLAM]]+Tablo7[[#This Row],[0,20%]]-Tablo7[[#This Row],[0,10%]]</f>
        <v>0</v>
      </c>
    </row>
    <row r="124" spans="1:12" hidden="1" x14ac:dyDescent="0.25">
      <c r="A124" s="130" t="s">
        <v>102</v>
      </c>
      <c r="B124" s="130" t="s">
        <v>386</v>
      </c>
      <c r="C124" s="130" t="s">
        <v>89</v>
      </c>
      <c r="D124" s="130" t="s">
        <v>561</v>
      </c>
      <c r="E124" s="130" t="s">
        <v>10</v>
      </c>
      <c r="G124" s="308">
        <v>1500</v>
      </c>
      <c r="H124" s="132">
        <f>Tablo7[[#This Row],[GÜN
TEK]]*Tablo7[[#This Row],[TUTAR]]</f>
        <v>0</v>
      </c>
      <c r="I124" s="132">
        <f>Tablo7[[#This Row],[TOPLAM]]*0.2</f>
        <v>0</v>
      </c>
      <c r="J124" s="132">
        <f>SUM(Tablo7[[#This Row],[TOPLAM]:[0,20%]])</f>
        <v>0</v>
      </c>
      <c r="K124" s="132">
        <f>Tablo7[[#This Row],[TOPLAM]]*0.1</f>
        <v>0</v>
      </c>
      <c r="L124" s="132">
        <f>Tablo7[[#This Row],[TOPLAM]]+Tablo7[[#This Row],[0,20%]]-Tablo7[[#This Row],[0,10%]]</f>
        <v>0</v>
      </c>
    </row>
    <row r="125" spans="1:12" hidden="1" x14ac:dyDescent="0.25">
      <c r="A125" s="130" t="s">
        <v>102</v>
      </c>
      <c r="B125" s="130" t="s">
        <v>386</v>
      </c>
      <c r="C125" s="130" t="s">
        <v>89</v>
      </c>
      <c r="D125" s="130" t="s">
        <v>523</v>
      </c>
      <c r="E125" s="130" t="s">
        <v>28</v>
      </c>
      <c r="G125" s="266">
        <v>800</v>
      </c>
      <c r="H125" s="132">
        <f>Tablo7[[#This Row],[GÜN
TEK]]*Tablo7[[#This Row],[TUTAR]]</f>
        <v>0</v>
      </c>
      <c r="I125" s="132">
        <f>Tablo7[[#This Row],[TOPLAM]]*0.2</f>
        <v>0</v>
      </c>
      <c r="J125" s="132">
        <f>SUM(Tablo7[[#This Row],[TOPLAM]:[0,20%]])</f>
        <v>0</v>
      </c>
      <c r="K125" s="132">
        <f>Tablo7[[#This Row],[TOPLAM]]*0.1</f>
        <v>0</v>
      </c>
      <c r="L125" s="132">
        <f>Tablo7[[#This Row],[TOPLAM]]+Tablo7[[#This Row],[0,20%]]-Tablo7[[#This Row],[0,10%]]</f>
        <v>0</v>
      </c>
    </row>
    <row r="126" spans="1:12" hidden="1" x14ac:dyDescent="0.25">
      <c r="A126" s="130" t="s">
        <v>102</v>
      </c>
      <c r="B126" s="130" t="s">
        <v>386</v>
      </c>
      <c r="C126" s="130" t="s">
        <v>89</v>
      </c>
      <c r="D126" s="130" t="s">
        <v>523</v>
      </c>
      <c r="E126" s="130" t="s">
        <v>28</v>
      </c>
      <c r="G126" s="266">
        <v>1250</v>
      </c>
      <c r="H126" s="132">
        <f>Tablo7[[#This Row],[GÜN
TEK]]*Tablo7[[#This Row],[TUTAR]]</f>
        <v>0</v>
      </c>
      <c r="I126" s="132">
        <f>Tablo7[[#This Row],[TOPLAM]]*0.2</f>
        <v>0</v>
      </c>
      <c r="J126" s="132">
        <f>SUM(Tablo7[[#This Row],[TOPLAM]:[0,20%]])</f>
        <v>0</v>
      </c>
      <c r="K126" s="132">
        <f>Tablo7[[#This Row],[TOPLAM]]*0.1</f>
        <v>0</v>
      </c>
      <c r="L126" s="132">
        <f>Tablo7[[#This Row],[TOPLAM]]+Tablo7[[#This Row],[0,20%]]-Tablo7[[#This Row],[0,10%]]</f>
        <v>0</v>
      </c>
    </row>
    <row r="127" spans="1:12" hidden="1" x14ac:dyDescent="0.25">
      <c r="A127" s="130" t="s">
        <v>102</v>
      </c>
      <c r="B127" s="130" t="s">
        <v>386</v>
      </c>
      <c r="C127" s="130" t="s">
        <v>89</v>
      </c>
      <c r="D127" s="130" t="s">
        <v>523</v>
      </c>
      <c r="E127" s="130" t="s">
        <v>560</v>
      </c>
      <c r="G127" s="308">
        <v>1250</v>
      </c>
      <c r="H127" s="132">
        <f>Tablo7[[#This Row],[GÜN
TEK]]*Tablo7[[#This Row],[TUTAR]]</f>
        <v>0</v>
      </c>
      <c r="I127" s="132">
        <f>Tablo7[[#This Row],[TOPLAM]]*0.2</f>
        <v>0</v>
      </c>
      <c r="J127" s="132">
        <f>SUM(Tablo7[[#This Row],[TOPLAM]:[0,20%]])</f>
        <v>0</v>
      </c>
      <c r="K127" s="132">
        <f>Tablo7[[#This Row],[TOPLAM]]*0.1</f>
        <v>0</v>
      </c>
      <c r="L127" s="132">
        <f>Tablo7[[#This Row],[TOPLAM]]+Tablo7[[#This Row],[0,20%]]-Tablo7[[#This Row],[0,10%]]</f>
        <v>0</v>
      </c>
    </row>
    <row r="128" spans="1:12" hidden="1" x14ac:dyDescent="0.25">
      <c r="A128" s="130" t="s">
        <v>102</v>
      </c>
      <c r="B128" s="130" t="s">
        <v>140</v>
      </c>
      <c r="C128" s="130" t="s">
        <v>89</v>
      </c>
      <c r="D128" s="130" t="s">
        <v>523</v>
      </c>
      <c r="E128" s="130" t="s">
        <v>140</v>
      </c>
      <c r="G128" s="131">
        <v>1500</v>
      </c>
      <c r="H128" s="132">
        <f>Tablo7[[#This Row],[GÜN
TEK]]*Tablo7[[#This Row],[TUTAR]]</f>
        <v>0</v>
      </c>
      <c r="I128" s="132">
        <f>Tablo7[[#This Row],[TOPLAM]]*0.2</f>
        <v>0</v>
      </c>
      <c r="J128" s="132">
        <f>SUM(Tablo7[[#This Row],[TOPLAM]:[0,20%]])</f>
        <v>0</v>
      </c>
      <c r="K128" s="132">
        <f>Tablo7[[#This Row],[TOPLAM]]*0.1</f>
        <v>0</v>
      </c>
      <c r="L128" s="132">
        <f>Tablo7[[#This Row],[TOPLAM]]+Tablo7[[#This Row],[0,20%]]-Tablo7[[#This Row],[0,10%]]</f>
        <v>0</v>
      </c>
    </row>
    <row r="129" spans="1:12" hidden="1" x14ac:dyDescent="0.25">
      <c r="B129" s="130" t="s">
        <v>549</v>
      </c>
      <c r="C129" s="130" t="s">
        <v>89</v>
      </c>
      <c r="E129" s="130" t="s">
        <v>47</v>
      </c>
      <c r="G129" s="131">
        <v>1500</v>
      </c>
      <c r="H129" s="132">
        <f>Tablo7[[#This Row],[GÜN
TEK]]*Tablo7[[#This Row],[TUTAR]]</f>
        <v>0</v>
      </c>
      <c r="I129" s="132">
        <f>Tablo7[[#This Row],[TOPLAM]]*0.2</f>
        <v>0</v>
      </c>
      <c r="J129" s="132">
        <f>SUM(Tablo7[[#This Row],[TOPLAM]:[0,20%]])</f>
        <v>0</v>
      </c>
      <c r="K129" s="132">
        <f>Tablo7[[#This Row],[TOPLAM]]*0.1</f>
        <v>0</v>
      </c>
      <c r="L129" s="132">
        <f>Tablo7[[#This Row],[TOPLAM]]+Tablo7[[#This Row],[0,20%]]-Tablo7[[#This Row],[0,10%]]</f>
        <v>0</v>
      </c>
    </row>
    <row r="130" spans="1:12" hidden="1" x14ac:dyDescent="0.25">
      <c r="A130" s="130" t="s">
        <v>102</v>
      </c>
      <c r="B130" s="130" t="s">
        <v>395</v>
      </c>
      <c r="C130" s="130" t="s">
        <v>107</v>
      </c>
      <c r="D130" s="130" t="s">
        <v>108</v>
      </c>
      <c r="E130" s="130" t="s">
        <v>325</v>
      </c>
      <c r="F130" s="130">
        <v>18</v>
      </c>
      <c r="G130" s="131">
        <v>2900</v>
      </c>
      <c r="H130" s="132">
        <f>Tablo7[[#This Row],[GÜN
TEK]]*Tablo7[[#This Row],[TUTAR]]</f>
        <v>52200</v>
      </c>
      <c r="I130" s="132">
        <f>Tablo7[[#This Row],[TOPLAM]]*0.2</f>
        <v>10440</v>
      </c>
      <c r="J130" s="132">
        <f>SUM(Tablo7[[#This Row],[TOPLAM]:[0,20%]])</f>
        <v>62640</v>
      </c>
      <c r="K130" s="132">
        <f>Tablo7[[#This Row],[TOPLAM]]*0.1</f>
        <v>5220</v>
      </c>
      <c r="L130" s="132">
        <f>Tablo7[[#This Row],[TOPLAM]]+Tablo7[[#This Row],[0,20%]]-Tablo7[[#This Row],[0,10%]]</f>
        <v>57420</v>
      </c>
    </row>
    <row r="131" spans="1:12" hidden="1" x14ac:dyDescent="0.25">
      <c r="A131" s="130" t="s">
        <v>102</v>
      </c>
      <c r="B131" s="130" t="s">
        <v>395</v>
      </c>
      <c r="C131" s="130" t="s">
        <v>107</v>
      </c>
      <c r="D131" s="130" t="s">
        <v>108</v>
      </c>
      <c r="E131" s="130" t="s">
        <v>10</v>
      </c>
      <c r="G131" s="131">
        <v>1750</v>
      </c>
      <c r="H131" s="132">
        <f>Tablo7[[#This Row],[GÜN
TEK]]*Tablo7[[#This Row],[TUTAR]]</f>
        <v>0</v>
      </c>
      <c r="I131" s="132">
        <f>Tablo7[[#This Row],[TOPLAM]]*0.2</f>
        <v>0</v>
      </c>
      <c r="J131" s="132">
        <f>SUM(Tablo7[[#This Row],[TOPLAM]:[0,20%]])</f>
        <v>0</v>
      </c>
      <c r="K131" s="132">
        <f>Tablo7[[#This Row],[TOPLAM]]*0.1</f>
        <v>0</v>
      </c>
      <c r="L131" s="132">
        <f>Tablo7[[#This Row],[TOPLAM]]+Tablo7[[#This Row],[0,20%]]-Tablo7[[#This Row],[0,10%]]</f>
        <v>0</v>
      </c>
    </row>
    <row r="132" spans="1:12" hidden="1" x14ac:dyDescent="0.25">
      <c r="A132" s="130" t="s">
        <v>102</v>
      </c>
      <c r="B132" s="130" t="s">
        <v>394</v>
      </c>
      <c r="C132" s="130" t="s">
        <v>109</v>
      </c>
      <c r="D132" s="130" t="s">
        <v>110</v>
      </c>
      <c r="E132" s="130" t="s">
        <v>325</v>
      </c>
      <c r="F132" s="130">
        <v>18</v>
      </c>
      <c r="G132" s="131">
        <v>2800</v>
      </c>
      <c r="H132" s="132">
        <f>Tablo7[[#This Row],[GÜN
TEK]]*Tablo7[[#This Row],[TUTAR]]</f>
        <v>50400</v>
      </c>
      <c r="I132" s="132">
        <f>Tablo7[[#This Row],[TOPLAM]]*0.2</f>
        <v>10080</v>
      </c>
      <c r="J132" s="132">
        <f>SUM(Tablo7[[#This Row],[TOPLAM]:[0,20%]])</f>
        <v>60480</v>
      </c>
      <c r="K132" s="132">
        <f>Tablo7[[#This Row],[TOPLAM]]*0.1</f>
        <v>5040</v>
      </c>
      <c r="L132" s="132">
        <f>Tablo7[[#This Row],[TOPLAM]]+Tablo7[[#This Row],[0,20%]]-Tablo7[[#This Row],[0,10%]]</f>
        <v>55440</v>
      </c>
    </row>
    <row r="133" spans="1:12" hidden="1" x14ac:dyDescent="0.25">
      <c r="A133" s="130" t="s">
        <v>102</v>
      </c>
      <c r="B133" s="130" t="s">
        <v>394</v>
      </c>
      <c r="C133" s="130" t="s">
        <v>109</v>
      </c>
      <c r="D133" s="130" t="s">
        <v>110</v>
      </c>
      <c r="E133" s="130" t="s">
        <v>10</v>
      </c>
      <c r="G133" s="131">
        <v>1750</v>
      </c>
      <c r="H133" s="132">
        <f>Tablo7[[#This Row],[GÜN
TEK]]*Tablo7[[#This Row],[TUTAR]]</f>
        <v>0</v>
      </c>
      <c r="I133" s="132">
        <f>Tablo7[[#This Row],[TOPLAM]]*0.2</f>
        <v>0</v>
      </c>
      <c r="J133" s="132">
        <f>SUM(Tablo7[[#This Row],[TOPLAM]:[0,20%]])</f>
        <v>0</v>
      </c>
      <c r="K133" s="132">
        <f>Tablo7[[#This Row],[TOPLAM]]*0.1</f>
        <v>0</v>
      </c>
      <c r="L133" s="132">
        <f>Tablo7[[#This Row],[TOPLAM]]+Tablo7[[#This Row],[0,20%]]-Tablo7[[#This Row],[0,10%]]</f>
        <v>0</v>
      </c>
    </row>
    <row r="134" spans="1:12" hidden="1" x14ac:dyDescent="0.25">
      <c r="A134" s="130" t="s">
        <v>102</v>
      </c>
      <c r="B134" s="130" t="s">
        <v>393</v>
      </c>
      <c r="C134" s="130" t="s">
        <v>111</v>
      </c>
      <c r="D134" s="130" t="s">
        <v>112</v>
      </c>
      <c r="E134" s="130" t="s">
        <v>325</v>
      </c>
      <c r="F134" s="130">
        <v>18</v>
      </c>
      <c r="G134" s="131">
        <v>2800</v>
      </c>
      <c r="H134" s="132">
        <f>Tablo7[[#This Row],[GÜN
TEK]]*Tablo7[[#This Row],[TUTAR]]</f>
        <v>50400</v>
      </c>
      <c r="I134" s="132">
        <f>Tablo7[[#This Row],[TOPLAM]]*0.2</f>
        <v>10080</v>
      </c>
      <c r="J134" s="132">
        <f>SUM(Tablo7[[#This Row],[TOPLAM]:[0,20%]])</f>
        <v>60480</v>
      </c>
      <c r="K134" s="132">
        <f>Tablo7[[#This Row],[TOPLAM]]*0.1</f>
        <v>5040</v>
      </c>
      <c r="L134" s="132">
        <f>Tablo7[[#This Row],[TOPLAM]]+Tablo7[[#This Row],[0,20%]]-Tablo7[[#This Row],[0,10%]]</f>
        <v>55440</v>
      </c>
    </row>
    <row r="135" spans="1:12" hidden="1" x14ac:dyDescent="0.25">
      <c r="A135" s="130" t="s">
        <v>102</v>
      </c>
      <c r="B135" s="130" t="s">
        <v>393</v>
      </c>
      <c r="C135" s="130" t="s">
        <v>111</v>
      </c>
      <c r="D135" s="130" t="s">
        <v>112</v>
      </c>
      <c r="E135" s="130" t="s">
        <v>10</v>
      </c>
      <c r="G135" s="131">
        <v>1750</v>
      </c>
      <c r="H135" s="132">
        <f>Tablo7[[#This Row],[GÜN
TEK]]*Tablo7[[#This Row],[TUTAR]]</f>
        <v>0</v>
      </c>
      <c r="I135" s="132">
        <f>Tablo7[[#This Row],[TOPLAM]]*0.2</f>
        <v>0</v>
      </c>
      <c r="J135" s="132">
        <f>SUM(Tablo7[[#This Row],[TOPLAM]:[0,20%]])</f>
        <v>0</v>
      </c>
      <c r="K135" s="132">
        <f>Tablo7[[#This Row],[TOPLAM]]*0.1</f>
        <v>0</v>
      </c>
      <c r="L135" s="132">
        <f>Tablo7[[#This Row],[TOPLAM]]+Tablo7[[#This Row],[0,20%]]-Tablo7[[#This Row],[0,10%]]</f>
        <v>0</v>
      </c>
    </row>
    <row r="136" spans="1:12" hidden="1" x14ac:dyDescent="0.25">
      <c r="A136" s="130" t="s">
        <v>102</v>
      </c>
      <c r="B136" s="130" t="s">
        <v>396</v>
      </c>
      <c r="C136" s="130" t="s">
        <v>107</v>
      </c>
      <c r="D136" s="130" t="s">
        <v>113</v>
      </c>
      <c r="E136" s="130" t="s">
        <v>325</v>
      </c>
      <c r="F136" s="130">
        <v>18</v>
      </c>
      <c r="G136" s="131">
        <v>2800</v>
      </c>
      <c r="H136" s="132">
        <f>Tablo7[[#This Row],[GÜN
TEK]]*Tablo7[[#This Row],[TUTAR]]</f>
        <v>50400</v>
      </c>
      <c r="I136" s="132">
        <f>Tablo7[[#This Row],[TOPLAM]]*0.2</f>
        <v>10080</v>
      </c>
      <c r="J136" s="132">
        <f>SUM(Tablo7[[#This Row],[TOPLAM]:[0,20%]])</f>
        <v>60480</v>
      </c>
      <c r="K136" s="132">
        <f>Tablo7[[#This Row],[TOPLAM]]*0.1</f>
        <v>5040</v>
      </c>
      <c r="L136" s="132">
        <f>Tablo7[[#This Row],[TOPLAM]]+Tablo7[[#This Row],[0,20%]]-Tablo7[[#This Row],[0,10%]]</f>
        <v>55440</v>
      </c>
    </row>
    <row r="137" spans="1:12" hidden="1" x14ac:dyDescent="0.25">
      <c r="A137" s="130" t="s">
        <v>102</v>
      </c>
      <c r="B137" s="130" t="s">
        <v>396</v>
      </c>
      <c r="C137" s="130" t="s">
        <v>107</v>
      </c>
      <c r="D137" s="130" t="s">
        <v>113</v>
      </c>
      <c r="E137" s="130" t="s">
        <v>10</v>
      </c>
      <c r="G137" s="131">
        <v>1750</v>
      </c>
      <c r="H137" s="132">
        <f>Tablo7[[#This Row],[GÜN
TEK]]*Tablo7[[#This Row],[TUTAR]]</f>
        <v>0</v>
      </c>
      <c r="I137" s="132">
        <f>Tablo7[[#This Row],[TOPLAM]]*0.2</f>
        <v>0</v>
      </c>
      <c r="J137" s="132">
        <f>SUM(Tablo7[[#This Row],[TOPLAM]:[0,20%]])</f>
        <v>0</v>
      </c>
      <c r="K137" s="132">
        <f>Tablo7[[#This Row],[TOPLAM]]*0.1</f>
        <v>0</v>
      </c>
      <c r="L137" s="132">
        <f>Tablo7[[#This Row],[TOPLAM]]+Tablo7[[#This Row],[0,20%]]-Tablo7[[#This Row],[0,10%]]</f>
        <v>0</v>
      </c>
    </row>
    <row r="138" spans="1:12" hidden="1" x14ac:dyDescent="0.25">
      <c r="A138" s="130" t="s">
        <v>102</v>
      </c>
      <c r="B138" s="130" t="s">
        <v>397</v>
      </c>
      <c r="C138" s="130" t="s">
        <v>114</v>
      </c>
      <c r="D138" s="130" t="s">
        <v>398</v>
      </c>
      <c r="E138" s="130" t="s">
        <v>325</v>
      </c>
      <c r="F138" s="130">
        <v>21</v>
      </c>
      <c r="G138" s="131">
        <v>2800</v>
      </c>
      <c r="H138" s="132">
        <f>Tablo7[[#This Row],[GÜN
TEK]]*Tablo7[[#This Row],[TUTAR]]</f>
        <v>58800</v>
      </c>
      <c r="I138" s="132">
        <f>Tablo7[[#This Row],[TOPLAM]]*0.2</f>
        <v>11760</v>
      </c>
      <c r="J138" s="132">
        <f>SUM(Tablo7[[#This Row],[TOPLAM]:[0,20%]])</f>
        <v>70560</v>
      </c>
      <c r="K138" s="132">
        <f>Tablo7[[#This Row],[TOPLAM]]*0.1</f>
        <v>5880</v>
      </c>
      <c r="L138" s="132">
        <f>Tablo7[[#This Row],[TOPLAM]]+Tablo7[[#This Row],[0,20%]]-Tablo7[[#This Row],[0,10%]]</f>
        <v>64680</v>
      </c>
    </row>
    <row r="139" spans="1:12" hidden="1" x14ac:dyDescent="0.25">
      <c r="A139" s="130" t="s">
        <v>102</v>
      </c>
      <c r="B139" s="130" t="s">
        <v>397</v>
      </c>
      <c r="C139" s="130" t="s">
        <v>114</v>
      </c>
      <c r="D139" s="130" t="s">
        <v>398</v>
      </c>
      <c r="E139" s="130" t="s">
        <v>10</v>
      </c>
      <c r="G139" s="131">
        <v>1750</v>
      </c>
      <c r="H139" s="132">
        <f>Tablo7[[#This Row],[GÜN
TEK]]*Tablo7[[#This Row],[TUTAR]]</f>
        <v>0</v>
      </c>
      <c r="I139" s="132">
        <f>Tablo7[[#This Row],[TOPLAM]]*0.2</f>
        <v>0</v>
      </c>
      <c r="J139" s="132">
        <f>SUM(Tablo7[[#This Row],[TOPLAM]:[0,20%]])</f>
        <v>0</v>
      </c>
      <c r="K139" s="132">
        <f>Tablo7[[#This Row],[TOPLAM]]*0.1</f>
        <v>0</v>
      </c>
      <c r="L139" s="132">
        <f>Tablo7[[#This Row],[TOPLAM]]+Tablo7[[#This Row],[0,20%]]-Tablo7[[#This Row],[0,10%]]</f>
        <v>0</v>
      </c>
    </row>
    <row r="140" spans="1:12" hidden="1" x14ac:dyDescent="0.25">
      <c r="A140" s="130" t="s">
        <v>102</v>
      </c>
      <c r="B140" s="130" t="s">
        <v>144</v>
      </c>
      <c r="C140" s="130" t="s">
        <v>114</v>
      </c>
      <c r="D140" s="130" t="s">
        <v>398</v>
      </c>
      <c r="E140" s="130" t="s">
        <v>10</v>
      </c>
      <c r="G140" s="131">
        <v>1750</v>
      </c>
      <c r="H140" s="132">
        <f>Tablo7[[#This Row],[GÜN
TEK]]*Tablo7[[#This Row],[TUTAR]]</f>
        <v>0</v>
      </c>
      <c r="I140" s="132">
        <f>Tablo7[[#This Row],[TOPLAM]]*0.2</f>
        <v>0</v>
      </c>
      <c r="J140" s="132">
        <f>SUM(Tablo7[[#This Row],[TOPLAM]:[0,20%]])</f>
        <v>0</v>
      </c>
      <c r="K140" s="132">
        <f>Tablo7[[#This Row],[TOPLAM]]*0.1</f>
        <v>0</v>
      </c>
      <c r="L140" s="132">
        <f>Tablo7[[#This Row],[TOPLAM]]+Tablo7[[#This Row],[0,20%]]-Tablo7[[#This Row],[0,10%]]</f>
        <v>0</v>
      </c>
    </row>
    <row r="141" spans="1:12" hidden="1" x14ac:dyDescent="0.25">
      <c r="A141" s="130" t="s">
        <v>102</v>
      </c>
      <c r="B141" s="130" t="s">
        <v>399</v>
      </c>
      <c r="C141" s="130" t="s">
        <v>21</v>
      </c>
      <c r="D141" s="130" t="s">
        <v>115</v>
      </c>
      <c r="E141" s="130" t="s">
        <v>325</v>
      </c>
      <c r="F141" s="130">
        <v>21</v>
      </c>
      <c r="G141" s="131">
        <v>2500</v>
      </c>
      <c r="H141" s="132">
        <f>Tablo7[[#This Row],[GÜN
TEK]]*Tablo7[[#This Row],[TUTAR]]</f>
        <v>52500</v>
      </c>
      <c r="I141" s="132">
        <f>Tablo7[[#This Row],[TOPLAM]]*0.2</f>
        <v>10500</v>
      </c>
      <c r="J141" s="132">
        <f>SUM(Tablo7[[#This Row],[TOPLAM]:[0,20%]])</f>
        <v>63000</v>
      </c>
      <c r="K141" s="132">
        <f>Tablo7[[#This Row],[TOPLAM]]*0.1</f>
        <v>5250</v>
      </c>
      <c r="L141" s="132">
        <f>Tablo7[[#This Row],[TOPLAM]]+Tablo7[[#This Row],[0,20%]]-Tablo7[[#This Row],[0,10%]]</f>
        <v>57750</v>
      </c>
    </row>
    <row r="142" spans="1:12" hidden="1" x14ac:dyDescent="0.25">
      <c r="A142" s="130" t="s">
        <v>102</v>
      </c>
      <c r="B142" s="130" t="s">
        <v>399</v>
      </c>
      <c r="C142" s="130" t="s">
        <v>21</v>
      </c>
      <c r="D142" s="130" t="s">
        <v>115</v>
      </c>
      <c r="E142" s="130" t="s">
        <v>10</v>
      </c>
      <c r="F142" s="130">
        <v>1</v>
      </c>
      <c r="G142" s="131">
        <v>1450</v>
      </c>
      <c r="H142" s="132">
        <f>Tablo7[[#This Row],[GÜN
TEK]]*Tablo7[[#This Row],[TUTAR]]</f>
        <v>1450</v>
      </c>
      <c r="I142" s="132">
        <f>Tablo7[[#This Row],[TOPLAM]]*0.2</f>
        <v>290</v>
      </c>
      <c r="J142" s="132">
        <f>SUM(Tablo7[[#This Row],[TOPLAM]:[0,20%]])</f>
        <v>1740</v>
      </c>
      <c r="K142" s="132">
        <f>Tablo7[[#This Row],[TOPLAM]]*0.1</f>
        <v>145</v>
      </c>
      <c r="L142" s="132">
        <f>Tablo7[[#This Row],[TOPLAM]]+Tablo7[[#This Row],[0,20%]]-Tablo7[[#This Row],[0,10%]]</f>
        <v>1595</v>
      </c>
    </row>
    <row r="143" spans="1:12" hidden="1" x14ac:dyDescent="0.25">
      <c r="A143" s="130" t="s">
        <v>102</v>
      </c>
      <c r="B143" s="130" t="s">
        <v>307</v>
      </c>
      <c r="C143" s="130" t="s">
        <v>581</v>
      </c>
      <c r="D143" s="130" t="s">
        <v>400</v>
      </c>
      <c r="E143" s="130" t="s">
        <v>325</v>
      </c>
      <c r="F143" s="130">
        <v>18</v>
      </c>
      <c r="G143" s="131">
        <v>4000</v>
      </c>
      <c r="H143" s="132">
        <f>Tablo7[[#This Row],[GÜN
TEK]]*Tablo7[[#This Row],[TUTAR]]</f>
        <v>72000</v>
      </c>
      <c r="I143" s="132">
        <f>Tablo7[[#This Row],[TOPLAM]]*0.2</f>
        <v>14400</v>
      </c>
      <c r="J143" s="132">
        <f>SUM(Tablo7[[#This Row],[TOPLAM]:[0,20%]])</f>
        <v>86400</v>
      </c>
      <c r="K143" s="132">
        <f>Tablo7[[#This Row],[TOPLAM]]*0.1</f>
        <v>7200</v>
      </c>
      <c r="L143" s="132">
        <f>Tablo7[[#This Row],[TOPLAM]]+Tablo7[[#This Row],[0,20%]]-Tablo7[[#This Row],[0,10%]]</f>
        <v>79200</v>
      </c>
    </row>
    <row r="144" spans="1:12" hidden="1" x14ac:dyDescent="0.25">
      <c r="A144" s="130" t="s">
        <v>102</v>
      </c>
      <c r="B144" s="130" t="s">
        <v>307</v>
      </c>
      <c r="C144" s="130" t="s">
        <v>581</v>
      </c>
      <c r="D144" s="130" t="s">
        <v>400</v>
      </c>
      <c r="E144" s="130" t="s">
        <v>10</v>
      </c>
      <c r="G144" s="131">
        <v>0</v>
      </c>
      <c r="H144" s="132">
        <f>Tablo7[[#This Row],[GÜN
TEK]]*Tablo7[[#This Row],[TUTAR]]</f>
        <v>0</v>
      </c>
      <c r="I144" s="132">
        <f>Tablo7[[#This Row],[TOPLAM]]*0.2</f>
        <v>0</v>
      </c>
      <c r="J144" s="132">
        <f>SUM(Tablo7[[#This Row],[TOPLAM]:[0,20%]])</f>
        <v>0</v>
      </c>
      <c r="K144" s="132">
        <f>Tablo7[[#This Row],[TOPLAM]]*0.1</f>
        <v>0</v>
      </c>
      <c r="L144" s="132">
        <f>Tablo7[[#This Row],[TOPLAM]]+Tablo7[[#This Row],[0,20%]]-Tablo7[[#This Row],[0,10%]]</f>
        <v>0</v>
      </c>
    </row>
    <row r="145" spans="1:12" hidden="1" x14ac:dyDescent="0.25">
      <c r="B145" s="130" t="s">
        <v>540</v>
      </c>
      <c r="C145" s="130" t="s">
        <v>109</v>
      </c>
      <c r="E145" s="130" t="s">
        <v>225</v>
      </c>
      <c r="G145" s="131">
        <v>1400</v>
      </c>
      <c r="H145" s="132">
        <f>Tablo7[[#This Row],[GÜN
TEK]]*Tablo7[[#This Row],[TUTAR]]</f>
        <v>0</v>
      </c>
      <c r="I145" s="132">
        <f>Tablo7[[#This Row],[TOPLAM]]*0.2</f>
        <v>0</v>
      </c>
      <c r="J145" s="132">
        <f>SUM(Tablo7[[#This Row],[TOPLAM]:[0,20%]])</f>
        <v>0</v>
      </c>
      <c r="K145" s="132">
        <f>Tablo7[[#This Row],[TOPLAM]]*0.1</f>
        <v>0</v>
      </c>
      <c r="L145" s="132">
        <f>Tablo7[[#This Row],[TOPLAM]]+Tablo7[[#This Row],[0,20%]]-Tablo7[[#This Row],[0,10%]]</f>
        <v>0</v>
      </c>
    </row>
    <row r="146" spans="1:12" ht="16.2" hidden="1" thickTop="1" thickBot="1" x14ac:dyDescent="0.3">
      <c r="G146" s="130"/>
      <c r="H146" s="169">
        <f>SUBTOTAL(109,H105:H145)</f>
        <v>167150</v>
      </c>
      <c r="I146" s="169">
        <f>Tablo7[[#This Row],[TOPLAM]]*0.2</f>
        <v>33430</v>
      </c>
      <c r="J146" s="169">
        <f>SUM(Tablo7[[#This Row],[TOPLAM]:[0,20%]])</f>
        <v>200580</v>
      </c>
      <c r="K146" s="169">
        <f>Tablo7[[#This Row],[TOPLAM]]*0.1</f>
        <v>16715</v>
      </c>
      <c r="L146" s="169">
        <f>Tablo7[[#This Row],[TOPLAM]]+Tablo7[[#This Row],[0,20%]]-Tablo7[[#This Row],[0,10%]]</f>
        <v>183865</v>
      </c>
    </row>
    <row r="148" spans="1:12" s="128" customFormat="1" ht="28.2" customHeight="1" thickBot="1" x14ac:dyDescent="0.35">
      <c r="A148" s="142" t="s">
        <v>202</v>
      </c>
      <c r="B148" s="142" t="s">
        <v>327</v>
      </c>
      <c r="C148" s="142" t="s">
        <v>0</v>
      </c>
      <c r="D148" s="142" t="s">
        <v>1</v>
      </c>
      <c r="E148" s="142" t="s">
        <v>326</v>
      </c>
      <c r="F148" s="143" t="s">
        <v>328</v>
      </c>
      <c r="G148" s="144" t="s">
        <v>2</v>
      </c>
      <c r="H148" s="144" t="s">
        <v>3</v>
      </c>
      <c r="I148" s="144" t="s">
        <v>229</v>
      </c>
      <c r="J148" s="144" t="s">
        <v>4</v>
      </c>
      <c r="K148" s="144" t="s">
        <v>228</v>
      </c>
      <c r="L148" s="144" t="s">
        <v>5</v>
      </c>
    </row>
    <row r="149" spans="1:12" hidden="1" x14ac:dyDescent="0.25">
      <c r="A149" s="130" t="s">
        <v>116</v>
      </c>
      <c r="B149" s="130" t="s">
        <v>401</v>
      </c>
      <c r="C149" s="130" t="s">
        <v>302</v>
      </c>
      <c r="E149" s="130" t="s">
        <v>28</v>
      </c>
      <c r="F149" s="130">
        <v>42</v>
      </c>
      <c r="G149" s="131">
        <v>620</v>
      </c>
      <c r="H149" s="132">
        <f>Tablo24[[#This Row],[GÜN
TEK]]*Tablo24[[#This Row],[TUTAR]]</f>
        <v>26040</v>
      </c>
      <c r="I149" s="132">
        <f>Tablo24[[#This Row],[TOPLAM]]*0.2</f>
        <v>5208</v>
      </c>
      <c r="J149" s="132">
        <f>SUM(Tablo24[[#This Row],[TOPLAM]:[0,20%]])</f>
        <v>31248</v>
      </c>
      <c r="K149" s="132">
        <f>Tablo24[[#This Row],[TOPLAM]]*0.1</f>
        <v>2604</v>
      </c>
      <c r="L149" s="132">
        <f>Tablo24[[#This Row],[TOPLAM]]+Tablo24[[#This Row],[0,20%]]-Tablo24[[#This Row],[0,10%]]</f>
        <v>28644</v>
      </c>
    </row>
    <row r="150" spans="1:12" hidden="1" x14ac:dyDescent="0.25">
      <c r="A150" s="130" t="s">
        <v>116</v>
      </c>
      <c r="B150" s="130" t="s">
        <v>401</v>
      </c>
      <c r="C150" s="130" t="s">
        <v>302</v>
      </c>
      <c r="E150" s="130" t="s">
        <v>482</v>
      </c>
      <c r="F150" s="130">
        <v>42</v>
      </c>
      <c r="G150" s="131">
        <v>1150</v>
      </c>
      <c r="H150" s="132">
        <f>Tablo24[[#This Row],[GÜN
TEK]]*Tablo24[[#This Row],[TUTAR]]</f>
        <v>48300</v>
      </c>
      <c r="I150" s="132">
        <f>Tablo24[[#This Row],[TOPLAM]]*0.2</f>
        <v>9660</v>
      </c>
      <c r="J150" s="132">
        <f>SUM(Tablo24[[#This Row],[TOPLAM]:[0,20%]])</f>
        <v>57960</v>
      </c>
      <c r="K150" s="132">
        <f>Tablo24[[#This Row],[TOPLAM]]*0.1</f>
        <v>4830</v>
      </c>
      <c r="L150" s="132">
        <f>Tablo24[[#This Row],[TOPLAM]]+Tablo24[[#This Row],[0,20%]]-Tablo24[[#This Row],[0,10%]]</f>
        <v>53130</v>
      </c>
    </row>
    <row r="151" spans="1:12" hidden="1" x14ac:dyDescent="0.25">
      <c r="A151" s="130" t="s">
        <v>116</v>
      </c>
      <c r="B151" s="130" t="s">
        <v>128</v>
      </c>
      <c r="C151" s="130" t="s">
        <v>302</v>
      </c>
      <c r="E151" s="130" t="s">
        <v>28</v>
      </c>
      <c r="F151" s="130">
        <v>42</v>
      </c>
      <c r="G151" s="131">
        <v>620</v>
      </c>
      <c r="H151" s="132">
        <f>Tablo24[[#This Row],[GÜN
TEK]]*Tablo24[[#This Row],[TUTAR]]</f>
        <v>26040</v>
      </c>
      <c r="I151" s="132">
        <f>Tablo24[[#This Row],[TOPLAM]]*0.2</f>
        <v>5208</v>
      </c>
      <c r="J151" s="132">
        <f>SUM(Tablo24[[#This Row],[TOPLAM]:[0,20%]])</f>
        <v>31248</v>
      </c>
      <c r="K151" s="132">
        <f>Tablo24[[#This Row],[TOPLAM]]*0.1</f>
        <v>2604</v>
      </c>
      <c r="L151" s="132">
        <f>Tablo24[[#This Row],[TOPLAM]]+Tablo24[[#This Row],[0,20%]]-Tablo24[[#This Row],[0,10%]]</f>
        <v>28644</v>
      </c>
    </row>
    <row r="152" spans="1:12" hidden="1" x14ac:dyDescent="0.25">
      <c r="A152" s="130" t="s">
        <v>116</v>
      </c>
      <c r="B152" s="130" t="s">
        <v>128</v>
      </c>
      <c r="C152" s="130" t="s">
        <v>302</v>
      </c>
      <c r="E152" s="130" t="s">
        <v>482</v>
      </c>
      <c r="F152" s="130">
        <v>42</v>
      </c>
      <c r="G152" s="131">
        <v>1150</v>
      </c>
      <c r="H152" s="132">
        <f>Tablo24[[#This Row],[GÜN
TEK]]*Tablo24[[#This Row],[TUTAR]]</f>
        <v>48300</v>
      </c>
      <c r="I152" s="132">
        <f>Tablo24[[#This Row],[TOPLAM]]*0.2</f>
        <v>9660</v>
      </c>
      <c r="J152" s="132">
        <f>SUM(Tablo24[[#This Row],[TOPLAM]:[0,20%]])</f>
        <v>57960</v>
      </c>
      <c r="K152" s="132">
        <f>Tablo24[[#This Row],[TOPLAM]]*0.1</f>
        <v>4830</v>
      </c>
      <c r="L152" s="132">
        <f>Tablo24[[#This Row],[TOPLAM]]+Tablo24[[#This Row],[0,20%]]-Tablo24[[#This Row],[0,10%]]</f>
        <v>53130</v>
      </c>
    </row>
    <row r="153" spans="1:12" hidden="1" x14ac:dyDescent="0.25">
      <c r="A153" s="130" t="s">
        <v>116</v>
      </c>
      <c r="B153" s="130" t="s">
        <v>402</v>
      </c>
      <c r="C153" s="130" t="s">
        <v>21</v>
      </c>
      <c r="E153" s="130" t="s">
        <v>28</v>
      </c>
      <c r="F153" s="130">
        <v>127</v>
      </c>
      <c r="G153" s="131">
        <v>860</v>
      </c>
      <c r="H153" s="132">
        <f>Tablo24[[#This Row],[GÜN
TEK]]*Tablo24[[#This Row],[TUTAR]]</f>
        <v>109220</v>
      </c>
      <c r="I153" s="132">
        <f>Tablo24[[#This Row],[TOPLAM]]*0.2</f>
        <v>21844</v>
      </c>
      <c r="J153" s="132">
        <f>SUM(Tablo24[[#This Row],[TOPLAM]:[0,20%]])</f>
        <v>131064</v>
      </c>
      <c r="K153" s="132">
        <f>Tablo24[[#This Row],[TOPLAM]]*0.1</f>
        <v>10922</v>
      </c>
      <c r="L153" s="132">
        <f>Tablo24[[#This Row],[TOPLAM]]+Tablo24[[#This Row],[0,20%]]-Tablo24[[#This Row],[0,10%]]</f>
        <v>120142</v>
      </c>
    </row>
    <row r="154" spans="1:12" hidden="1" x14ac:dyDescent="0.25">
      <c r="A154" s="130" t="s">
        <v>116</v>
      </c>
      <c r="B154" s="130" t="s">
        <v>402</v>
      </c>
      <c r="C154" s="130" t="s">
        <v>21</v>
      </c>
      <c r="E154" s="130" t="s">
        <v>482</v>
      </c>
      <c r="G154" s="131">
        <v>1600</v>
      </c>
      <c r="H154" s="132">
        <f>Tablo24[[#This Row],[GÜN
TEK]]*Tablo24[[#This Row],[TUTAR]]</f>
        <v>0</v>
      </c>
      <c r="I154" s="132">
        <f>Tablo24[[#This Row],[TOPLAM]]*0.2</f>
        <v>0</v>
      </c>
      <c r="J154" s="132">
        <f>SUM(Tablo24[[#This Row],[TOPLAM]:[0,20%]])</f>
        <v>0</v>
      </c>
      <c r="K154" s="132">
        <f>Tablo24[[#This Row],[TOPLAM]]*0.1</f>
        <v>0</v>
      </c>
      <c r="L154" s="132">
        <f>Tablo24[[#This Row],[TOPLAM]]+Tablo24[[#This Row],[0,20%]]-Tablo24[[#This Row],[0,10%]]</f>
        <v>0</v>
      </c>
    </row>
    <row r="155" spans="1:12" hidden="1" x14ac:dyDescent="0.25">
      <c r="A155" s="130" t="s">
        <v>116</v>
      </c>
      <c r="B155" s="130" t="s">
        <v>403</v>
      </c>
      <c r="C155" s="130" t="s">
        <v>89</v>
      </c>
      <c r="E155" s="130" t="s">
        <v>28</v>
      </c>
      <c r="F155" s="130">
        <v>127</v>
      </c>
      <c r="G155" s="131">
        <v>550</v>
      </c>
      <c r="H155" s="132">
        <f>Tablo24[[#This Row],[GÜN
TEK]]*Tablo24[[#This Row],[TUTAR]]</f>
        <v>69850</v>
      </c>
      <c r="I155" s="132">
        <f>Tablo24[[#This Row],[TOPLAM]]*0.2</f>
        <v>13970</v>
      </c>
      <c r="J155" s="132">
        <f>SUM(Tablo24[[#This Row],[TOPLAM]:[0,20%]])</f>
        <v>83820</v>
      </c>
      <c r="K155" s="132">
        <f>Tablo24[[#This Row],[TOPLAM]]*0.1</f>
        <v>6985</v>
      </c>
      <c r="L155" s="132">
        <f>Tablo24[[#This Row],[TOPLAM]]+Tablo24[[#This Row],[0,20%]]-Tablo24[[#This Row],[0,10%]]</f>
        <v>76835</v>
      </c>
    </row>
    <row r="156" spans="1:12" hidden="1" x14ac:dyDescent="0.25">
      <c r="A156" s="130" t="s">
        <v>116</v>
      </c>
      <c r="B156" s="130" t="s">
        <v>403</v>
      </c>
      <c r="C156" s="130" t="s">
        <v>89</v>
      </c>
      <c r="E156" s="130" t="s">
        <v>482</v>
      </c>
      <c r="G156" s="131">
        <v>900</v>
      </c>
      <c r="H156" s="132">
        <f>Tablo24[[#This Row],[GÜN
TEK]]*Tablo24[[#This Row],[TUTAR]]</f>
        <v>0</v>
      </c>
      <c r="I156" s="132">
        <f>Tablo24[[#This Row],[TOPLAM]]*0.2</f>
        <v>0</v>
      </c>
      <c r="J156" s="132">
        <f>SUM(Tablo24[[#This Row],[TOPLAM]:[0,20%]])</f>
        <v>0</v>
      </c>
      <c r="K156" s="132">
        <f>Tablo24[[#This Row],[TOPLAM]]*0.1</f>
        <v>0</v>
      </c>
      <c r="L156" s="132">
        <f>Tablo24[[#This Row],[TOPLAM]]+Tablo24[[#This Row],[0,20%]]-Tablo24[[#This Row],[0,10%]]</f>
        <v>0</v>
      </c>
    </row>
    <row r="157" spans="1:12" hidden="1" x14ac:dyDescent="0.25">
      <c r="A157" s="130" t="s">
        <v>116</v>
      </c>
      <c r="B157" s="130" t="s">
        <v>404</v>
      </c>
      <c r="C157" s="130" t="s">
        <v>89</v>
      </c>
      <c r="E157" s="130" t="s">
        <v>28</v>
      </c>
      <c r="F157" s="130">
        <v>127</v>
      </c>
      <c r="G157" s="131">
        <v>550</v>
      </c>
      <c r="H157" s="132">
        <f>Tablo24[[#This Row],[GÜN
TEK]]*Tablo24[[#This Row],[TUTAR]]</f>
        <v>69850</v>
      </c>
      <c r="I157" s="132">
        <f>Tablo24[[#This Row],[TOPLAM]]*0.2</f>
        <v>13970</v>
      </c>
      <c r="J157" s="132">
        <f>SUM(Tablo24[[#This Row],[TOPLAM]:[0,20%]])</f>
        <v>83820</v>
      </c>
      <c r="K157" s="132">
        <f>Tablo24[[#This Row],[TOPLAM]]*0.1</f>
        <v>6985</v>
      </c>
      <c r="L157" s="132">
        <f>Tablo24[[#This Row],[TOPLAM]]+Tablo24[[#This Row],[0,20%]]-Tablo24[[#This Row],[0,10%]]</f>
        <v>76835</v>
      </c>
    </row>
    <row r="158" spans="1:12" hidden="1" x14ac:dyDescent="0.25">
      <c r="A158" s="130" t="s">
        <v>116</v>
      </c>
      <c r="B158" s="130" t="s">
        <v>404</v>
      </c>
      <c r="C158" s="130" t="s">
        <v>89</v>
      </c>
      <c r="E158" s="130" t="s">
        <v>482</v>
      </c>
      <c r="G158" s="131">
        <v>1250</v>
      </c>
      <c r="H158" s="132">
        <f>Tablo24[[#This Row],[GÜN
TEK]]*Tablo24[[#This Row],[TUTAR]]</f>
        <v>0</v>
      </c>
      <c r="I158" s="132">
        <f>Tablo24[[#This Row],[TOPLAM]]*0.2</f>
        <v>0</v>
      </c>
      <c r="J158" s="132">
        <f>SUM(Tablo24[[#This Row],[TOPLAM]:[0,20%]])</f>
        <v>0</v>
      </c>
      <c r="K158" s="132">
        <f>Tablo24[[#This Row],[TOPLAM]]*0.1</f>
        <v>0</v>
      </c>
      <c r="L158" s="132">
        <f>Tablo24[[#This Row],[TOPLAM]]+Tablo24[[#This Row],[0,20%]]-Tablo24[[#This Row],[0,10%]]</f>
        <v>0</v>
      </c>
    </row>
    <row r="159" spans="1:12" hidden="1" x14ac:dyDescent="0.25">
      <c r="A159" s="130" t="s">
        <v>116</v>
      </c>
      <c r="B159" s="130" t="s">
        <v>405</v>
      </c>
      <c r="C159" s="130" t="s">
        <v>136</v>
      </c>
      <c r="E159" s="130" t="s">
        <v>28</v>
      </c>
      <c r="F159" s="130">
        <v>42</v>
      </c>
      <c r="G159" s="131">
        <v>550</v>
      </c>
      <c r="H159" s="132">
        <f>Tablo24[[#This Row],[GÜN
TEK]]*Tablo24[[#This Row],[TUTAR]]</f>
        <v>23100</v>
      </c>
      <c r="I159" s="132">
        <f>Tablo24[[#This Row],[TOPLAM]]*0.2</f>
        <v>4620</v>
      </c>
      <c r="J159" s="132">
        <f>SUM(Tablo24[[#This Row],[TOPLAM]:[0,20%]])</f>
        <v>27720</v>
      </c>
      <c r="K159" s="132">
        <f>Tablo24[[#This Row],[TOPLAM]]*0.1</f>
        <v>2310</v>
      </c>
      <c r="L159" s="132">
        <f>Tablo24[[#This Row],[TOPLAM]]+Tablo24[[#This Row],[0,20%]]-Tablo24[[#This Row],[0,10%]]</f>
        <v>25410</v>
      </c>
    </row>
    <row r="160" spans="1:12" hidden="1" x14ac:dyDescent="0.25">
      <c r="A160" s="130" t="s">
        <v>116</v>
      </c>
      <c r="B160" s="130" t="s">
        <v>405</v>
      </c>
      <c r="C160" s="130" t="s">
        <v>136</v>
      </c>
      <c r="E160" s="130" t="s">
        <v>482</v>
      </c>
      <c r="F160" s="130">
        <v>42</v>
      </c>
      <c r="G160" s="131">
        <v>900</v>
      </c>
      <c r="H160" s="132">
        <f>Tablo24[[#This Row],[GÜN
TEK]]*Tablo24[[#This Row],[TUTAR]]</f>
        <v>37800</v>
      </c>
      <c r="I160" s="132">
        <f>Tablo24[[#This Row],[TOPLAM]]*0.2</f>
        <v>7560</v>
      </c>
      <c r="J160" s="132">
        <f>SUM(Tablo24[[#This Row],[TOPLAM]:[0,20%]])</f>
        <v>45360</v>
      </c>
      <c r="K160" s="132">
        <f>Tablo24[[#This Row],[TOPLAM]]*0.1</f>
        <v>3780</v>
      </c>
      <c r="L160" s="132">
        <f>Tablo24[[#This Row],[TOPLAM]]+Tablo24[[#This Row],[0,20%]]-Tablo24[[#This Row],[0,10%]]</f>
        <v>41580</v>
      </c>
    </row>
    <row r="161" spans="1:12" hidden="1" x14ac:dyDescent="0.25">
      <c r="A161" s="130" t="s">
        <v>116</v>
      </c>
      <c r="B161" s="130" t="s">
        <v>407</v>
      </c>
      <c r="C161" s="130" t="s">
        <v>89</v>
      </c>
      <c r="E161" s="130" t="s">
        <v>28</v>
      </c>
      <c r="F161" s="130">
        <v>42</v>
      </c>
      <c r="G161" s="131">
        <v>550</v>
      </c>
      <c r="H161" s="132">
        <f>Tablo24[[#This Row],[GÜN
TEK]]*Tablo24[[#This Row],[TUTAR]]</f>
        <v>23100</v>
      </c>
      <c r="I161" s="132">
        <f>Tablo24[[#This Row],[TOPLAM]]*0.2</f>
        <v>4620</v>
      </c>
      <c r="J161" s="132">
        <f>SUM(Tablo24[[#This Row],[TOPLAM]:[0,20%]])</f>
        <v>27720</v>
      </c>
      <c r="K161" s="132">
        <f>Tablo24[[#This Row],[TOPLAM]]*0.1</f>
        <v>2310</v>
      </c>
      <c r="L161" s="132">
        <f>Tablo24[[#This Row],[TOPLAM]]+Tablo24[[#This Row],[0,20%]]-Tablo24[[#This Row],[0,10%]]</f>
        <v>25410</v>
      </c>
    </row>
    <row r="162" spans="1:12" hidden="1" x14ac:dyDescent="0.25">
      <c r="A162" s="130" t="s">
        <v>116</v>
      </c>
      <c r="B162" s="130" t="s">
        <v>407</v>
      </c>
      <c r="C162" s="130" t="s">
        <v>89</v>
      </c>
      <c r="E162" s="130" t="s">
        <v>482</v>
      </c>
      <c r="F162" s="130">
        <v>42</v>
      </c>
      <c r="G162" s="131">
        <v>900</v>
      </c>
      <c r="H162" s="132">
        <f>Tablo24[[#This Row],[GÜN
TEK]]*Tablo24[[#This Row],[TUTAR]]</f>
        <v>37800</v>
      </c>
      <c r="I162" s="132">
        <f>Tablo24[[#This Row],[TOPLAM]]*0.2</f>
        <v>7560</v>
      </c>
      <c r="J162" s="132">
        <f>SUM(Tablo24[[#This Row],[TOPLAM]:[0,20%]])</f>
        <v>45360</v>
      </c>
      <c r="K162" s="132">
        <f>Tablo24[[#This Row],[TOPLAM]]*0.1</f>
        <v>3780</v>
      </c>
      <c r="L162" s="132">
        <f>Tablo24[[#This Row],[TOPLAM]]+Tablo24[[#This Row],[0,20%]]-Tablo24[[#This Row],[0,10%]]</f>
        <v>41580</v>
      </c>
    </row>
    <row r="163" spans="1:12" hidden="1" x14ac:dyDescent="0.25">
      <c r="A163" s="130" t="s">
        <v>116</v>
      </c>
      <c r="B163" s="130" t="s">
        <v>223</v>
      </c>
      <c r="C163" s="130" t="s">
        <v>494</v>
      </c>
      <c r="E163" s="130" t="s">
        <v>28</v>
      </c>
      <c r="F163" s="130">
        <v>42</v>
      </c>
      <c r="G163" s="131">
        <v>1315</v>
      </c>
      <c r="H163" s="132">
        <f>Tablo24[[#This Row],[GÜN
TEK]]*Tablo24[[#This Row],[TUTAR]]</f>
        <v>55230</v>
      </c>
      <c r="I163" s="132">
        <f>Tablo24[[#This Row],[TOPLAM]]*0.2</f>
        <v>11046</v>
      </c>
      <c r="J163" s="132">
        <f>SUM(Tablo24[[#This Row],[TOPLAM]:[0,20%]])</f>
        <v>66276</v>
      </c>
      <c r="K163" s="132">
        <f>Tablo24[[#This Row],[TOPLAM]]*0.1</f>
        <v>5523</v>
      </c>
      <c r="L163" s="132">
        <f>Tablo24[[#This Row],[TOPLAM]]+Tablo24[[#This Row],[0,20%]]-Tablo24[[#This Row],[0,10%]]</f>
        <v>60753</v>
      </c>
    </row>
    <row r="164" spans="1:12" hidden="1" x14ac:dyDescent="0.25">
      <c r="A164" s="130" t="s">
        <v>116</v>
      </c>
      <c r="B164" s="130" t="s">
        <v>223</v>
      </c>
      <c r="C164" s="130" t="s">
        <v>494</v>
      </c>
      <c r="E164" s="130" t="s">
        <v>482</v>
      </c>
      <c r="F164" s="130">
        <v>42</v>
      </c>
      <c r="G164" s="131">
        <v>1900</v>
      </c>
      <c r="H164" s="132">
        <f>Tablo24[[#This Row],[GÜN
TEK]]*Tablo24[[#This Row],[TUTAR]]</f>
        <v>79800</v>
      </c>
      <c r="I164" s="132">
        <f>Tablo24[[#This Row],[TOPLAM]]*0.2</f>
        <v>15960</v>
      </c>
      <c r="J164" s="132">
        <f>SUM(Tablo24[[#This Row],[TOPLAM]:[0,20%]])</f>
        <v>95760</v>
      </c>
      <c r="K164" s="132">
        <f>Tablo24[[#This Row],[TOPLAM]]*0.1</f>
        <v>7980</v>
      </c>
      <c r="L164" s="132">
        <f>Tablo24[[#This Row],[TOPLAM]]+Tablo24[[#This Row],[0,20%]]-Tablo24[[#This Row],[0,10%]]</f>
        <v>87780</v>
      </c>
    </row>
    <row r="165" spans="1:12" hidden="1" x14ac:dyDescent="0.25">
      <c r="A165" s="130" t="s">
        <v>116</v>
      </c>
      <c r="B165" s="130" t="s">
        <v>408</v>
      </c>
      <c r="C165" s="130" t="s">
        <v>409</v>
      </c>
      <c r="E165" s="130" t="s">
        <v>28</v>
      </c>
      <c r="F165" s="130">
        <v>14</v>
      </c>
      <c r="G165" s="131">
        <v>700</v>
      </c>
      <c r="H165" s="132">
        <f>Tablo24[[#This Row],[GÜN
TEK]]*Tablo24[[#This Row],[TUTAR]]</f>
        <v>9800</v>
      </c>
      <c r="I165" s="132">
        <f>Tablo24[[#This Row],[TOPLAM]]*0.2</f>
        <v>1960</v>
      </c>
      <c r="J165" s="132">
        <f>SUM(Tablo24[[#This Row],[TOPLAM]:[0,20%]])</f>
        <v>11760</v>
      </c>
      <c r="K165" s="132">
        <f>Tablo24[[#This Row],[TOPLAM]]*0.1</f>
        <v>980</v>
      </c>
      <c r="L165" s="132">
        <f>Tablo24[[#This Row],[TOPLAM]]+Tablo24[[#This Row],[0,20%]]-Tablo24[[#This Row],[0,10%]]</f>
        <v>10780</v>
      </c>
    </row>
    <row r="166" spans="1:12" hidden="1" x14ac:dyDescent="0.25">
      <c r="A166" s="130" t="s">
        <v>116</v>
      </c>
      <c r="B166" s="130" t="s">
        <v>408</v>
      </c>
      <c r="C166" s="130" t="s">
        <v>409</v>
      </c>
      <c r="E166" s="130" t="s">
        <v>482</v>
      </c>
      <c r="F166" s="130">
        <v>42</v>
      </c>
      <c r="G166" s="131">
        <v>1250</v>
      </c>
      <c r="H166" s="132">
        <f>Tablo24[[#This Row],[GÜN
TEK]]*Tablo24[[#This Row],[TUTAR]]</f>
        <v>52500</v>
      </c>
      <c r="I166" s="132">
        <f>Tablo24[[#This Row],[TOPLAM]]*0.2</f>
        <v>10500</v>
      </c>
      <c r="J166" s="132">
        <f>SUM(Tablo24[[#This Row],[TOPLAM]:[0,20%]])</f>
        <v>63000</v>
      </c>
      <c r="K166" s="132">
        <f>Tablo24[[#This Row],[TOPLAM]]*0.1</f>
        <v>5250</v>
      </c>
      <c r="L166" s="132">
        <f>Tablo24[[#This Row],[TOPLAM]]+Tablo24[[#This Row],[0,20%]]-Tablo24[[#This Row],[0,10%]]</f>
        <v>57750</v>
      </c>
    </row>
    <row r="167" spans="1:12" hidden="1" x14ac:dyDescent="0.25">
      <c r="A167" s="130" t="s">
        <v>116</v>
      </c>
      <c r="B167" s="130" t="s">
        <v>410</v>
      </c>
      <c r="C167" s="130" t="s">
        <v>279</v>
      </c>
      <c r="D167" s="130" t="s">
        <v>412</v>
      </c>
      <c r="E167" s="130" t="s">
        <v>103</v>
      </c>
      <c r="F167" s="130">
        <v>21</v>
      </c>
      <c r="G167" s="131">
        <v>2800</v>
      </c>
      <c r="H167" s="132">
        <f>Tablo24[[#This Row],[GÜN
TEK]]*Tablo24[[#This Row],[TUTAR]]</f>
        <v>58800</v>
      </c>
      <c r="I167" s="132">
        <f>Tablo24[[#This Row],[TOPLAM]]*0.2</f>
        <v>11760</v>
      </c>
      <c r="J167" s="132">
        <f>SUM(Tablo24[[#This Row],[TOPLAM]:[0,20%]])</f>
        <v>70560</v>
      </c>
      <c r="K167" s="132">
        <f>Tablo24[[#This Row],[TOPLAM]]*0.1</f>
        <v>5880</v>
      </c>
      <c r="L167" s="132">
        <f>Tablo24[[#This Row],[TOPLAM]]+Tablo24[[#This Row],[0,20%]]-Tablo24[[#This Row],[0,10%]]</f>
        <v>64680</v>
      </c>
    </row>
    <row r="168" spans="1:12" hidden="1" x14ac:dyDescent="0.25">
      <c r="A168" s="130" t="s">
        <v>116</v>
      </c>
      <c r="B168" s="130" t="s">
        <v>411</v>
      </c>
      <c r="C168" s="130" t="s">
        <v>279</v>
      </c>
      <c r="D168" s="130" t="s">
        <v>290</v>
      </c>
      <c r="E168" s="130" t="s">
        <v>47</v>
      </c>
      <c r="G168" s="131">
        <v>2800</v>
      </c>
      <c r="H168" s="132">
        <f>Tablo24[[#This Row],[GÜN
TEK]]*Tablo24[[#This Row],[TUTAR]]</f>
        <v>0</v>
      </c>
      <c r="I168" s="132">
        <f>Tablo24[[#This Row],[TOPLAM]]*0.2</f>
        <v>0</v>
      </c>
      <c r="J168" s="132">
        <f>SUM(Tablo24[[#This Row],[TOPLAM]:[0,20%]])</f>
        <v>0</v>
      </c>
      <c r="K168" s="132">
        <f>Tablo24[[#This Row],[TOPLAM]]*0.1</f>
        <v>0</v>
      </c>
      <c r="L168" s="132">
        <f>Tablo24[[#This Row],[TOPLAM]]+Tablo24[[#This Row],[0,20%]]-Tablo24[[#This Row],[0,10%]]</f>
        <v>0</v>
      </c>
    </row>
    <row r="169" spans="1:12" hidden="1" x14ac:dyDescent="0.25">
      <c r="A169" s="130" t="s">
        <v>116</v>
      </c>
      <c r="B169" s="130" t="s">
        <v>411</v>
      </c>
      <c r="C169" s="130" t="s">
        <v>550</v>
      </c>
      <c r="D169" s="130" t="s">
        <v>290</v>
      </c>
      <c r="E169" s="130" t="s">
        <v>103</v>
      </c>
      <c r="F169" s="130">
        <v>18</v>
      </c>
      <c r="G169" s="131">
        <v>2800</v>
      </c>
      <c r="H169" s="132">
        <f>Tablo24[[#This Row],[GÜN
TEK]]*Tablo24[[#This Row],[TUTAR]]</f>
        <v>50400</v>
      </c>
      <c r="I169" s="132">
        <f>Tablo24[[#This Row],[TOPLAM]]*0.2</f>
        <v>10080</v>
      </c>
      <c r="J169" s="132">
        <f>SUM(Tablo24[[#This Row],[TOPLAM]:[0,20%]])</f>
        <v>60480</v>
      </c>
      <c r="K169" s="132">
        <f>Tablo24[[#This Row],[TOPLAM]]*0.1</f>
        <v>5040</v>
      </c>
      <c r="L169" s="132">
        <f>Tablo24[[#This Row],[TOPLAM]]+Tablo24[[#This Row],[0,20%]]-Tablo24[[#This Row],[0,10%]]</f>
        <v>55440</v>
      </c>
    </row>
    <row r="170" spans="1:12" x14ac:dyDescent="0.25">
      <c r="A170" s="130" t="s">
        <v>116</v>
      </c>
      <c r="B170" s="130" t="s">
        <v>411</v>
      </c>
      <c r="C170" s="130" t="s">
        <v>7</v>
      </c>
      <c r="D170" s="130" t="s">
        <v>290</v>
      </c>
      <c r="E170" s="130" t="s">
        <v>47</v>
      </c>
      <c r="G170" s="131">
        <v>2800</v>
      </c>
      <c r="H170" s="132">
        <f>Tablo24[[#This Row],[GÜN
TEK]]*Tablo24[[#This Row],[TUTAR]]</f>
        <v>0</v>
      </c>
      <c r="I170" s="132">
        <f>Tablo24[[#This Row],[TOPLAM]]*0.2</f>
        <v>0</v>
      </c>
      <c r="J170" s="132">
        <f>SUM(Tablo24[[#This Row],[TOPLAM]:[0,20%]])</f>
        <v>0</v>
      </c>
      <c r="K170" s="132">
        <f>Tablo24[[#This Row],[TOPLAM]]*0.1</f>
        <v>0</v>
      </c>
      <c r="L170" s="132">
        <f>Tablo24[[#This Row],[TOPLAM]]+Tablo24[[#This Row],[0,20%]]-Tablo24[[#This Row],[0,10%]]</f>
        <v>0</v>
      </c>
    </row>
    <row r="171" spans="1:12" hidden="1" x14ac:dyDescent="0.25">
      <c r="A171" s="130" t="s">
        <v>116</v>
      </c>
      <c r="B171" s="130" t="s">
        <v>413</v>
      </c>
      <c r="C171" s="130" t="s">
        <v>21</v>
      </c>
      <c r="E171" s="130" t="s">
        <v>103</v>
      </c>
      <c r="F171" s="130">
        <v>21</v>
      </c>
      <c r="G171" s="131">
        <v>2350</v>
      </c>
      <c r="H171" s="132">
        <f>Tablo24[[#This Row],[GÜN
TEK]]*Tablo24[[#This Row],[TUTAR]]</f>
        <v>49350</v>
      </c>
      <c r="I171" s="132">
        <f>Tablo24[[#This Row],[TOPLAM]]*0.2</f>
        <v>9870</v>
      </c>
      <c r="J171" s="132">
        <f>SUM(Tablo24[[#This Row],[TOPLAM]:[0,20%]])</f>
        <v>59220</v>
      </c>
      <c r="K171" s="132">
        <f>Tablo24[[#This Row],[TOPLAM]]*0.1</f>
        <v>4935</v>
      </c>
      <c r="L171" s="132">
        <f>Tablo24[[#This Row],[TOPLAM]]+Tablo24[[#This Row],[0,20%]]-Tablo24[[#This Row],[0,10%]]</f>
        <v>54285</v>
      </c>
    </row>
    <row r="172" spans="1:12" hidden="1" x14ac:dyDescent="0.25">
      <c r="A172" s="130" t="s">
        <v>116</v>
      </c>
      <c r="B172" s="130" t="s">
        <v>414</v>
      </c>
      <c r="C172" s="130" t="s">
        <v>21</v>
      </c>
      <c r="E172" s="130" t="s">
        <v>103</v>
      </c>
      <c r="F172" s="130">
        <v>18</v>
      </c>
      <c r="G172" s="131">
        <v>2350</v>
      </c>
      <c r="H172" s="132">
        <f>Tablo24[[#This Row],[GÜN
TEK]]*Tablo24[[#This Row],[TUTAR]]</f>
        <v>42300</v>
      </c>
      <c r="I172" s="132">
        <f>Tablo24[[#This Row],[TOPLAM]]*0.2</f>
        <v>8460</v>
      </c>
      <c r="J172" s="132">
        <f>SUM(Tablo24[[#This Row],[TOPLAM]:[0,20%]])</f>
        <v>50760</v>
      </c>
      <c r="K172" s="132">
        <f>Tablo24[[#This Row],[TOPLAM]]*0.1</f>
        <v>4230</v>
      </c>
      <c r="L172" s="132">
        <f>Tablo24[[#This Row],[TOPLAM]]+Tablo24[[#This Row],[0,20%]]-Tablo24[[#This Row],[0,10%]]</f>
        <v>46530</v>
      </c>
    </row>
    <row r="173" spans="1:12" hidden="1" x14ac:dyDescent="0.25">
      <c r="A173" s="130" t="s">
        <v>116</v>
      </c>
      <c r="B173" s="130" t="s">
        <v>415</v>
      </c>
      <c r="C173" s="130" t="s">
        <v>21</v>
      </c>
      <c r="E173" s="130" t="s">
        <v>103</v>
      </c>
      <c r="F173" s="130">
        <v>18</v>
      </c>
      <c r="G173" s="131">
        <v>2500</v>
      </c>
      <c r="H173" s="132">
        <f>Tablo24[[#This Row],[GÜN
TEK]]*Tablo24[[#This Row],[TUTAR]]</f>
        <v>45000</v>
      </c>
      <c r="I173" s="132">
        <f>Tablo24[[#This Row],[TOPLAM]]*0.2</f>
        <v>9000</v>
      </c>
      <c r="J173" s="132">
        <f>SUM(Tablo24[[#This Row],[TOPLAM]:[0,20%]])</f>
        <v>54000</v>
      </c>
      <c r="K173" s="132">
        <f>Tablo24[[#This Row],[TOPLAM]]*0.1</f>
        <v>4500</v>
      </c>
      <c r="L173" s="132">
        <f>Tablo24[[#This Row],[TOPLAM]]+Tablo24[[#This Row],[0,20%]]-Tablo24[[#This Row],[0,10%]]</f>
        <v>49500</v>
      </c>
    </row>
    <row r="174" spans="1:12" hidden="1" x14ac:dyDescent="0.25">
      <c r="A174" s="130" t="s">
        <v>116</v>
      </c>
      <c r="B174" s="130" t="s">
        <v>416</v>
      </c>
      <c r="C174" s="130" t="s">
        <v>89</v>
      </c>
      <c r="E174" s="130" t="s">
        <v>103</v>
      </c>
      <c r="F174" s="130">
        <v>21</v>
      </c>
      <c r="G174" s="131">
        <v>1800</v>
      </c>
      <c r="H174" s="132">
        <f>Tablo24[[#This Row],[GÜN
TEK]]*Tablo24[[#This Row],[TUTAR]]</f>
        <v>37800</v>
      </c>
      <c r="I174" s="132">
        <f>Tablo24[[#This Row],[TOPLAM]]*0.2</f>
        <v>7560</v>
      </c>
      <c r="J174" s="132">
        <f>SUM(Tablo24[[#This Row],[TOPLAM]:[0,20%]])</f>
        <v>45360</v>
      </c>
      <c r="K174" s="132">
        <f>Tablo24[[#This Row],[TOPLAM]]*0.1</f>
        <v>3780</v>
      </c>
      <c r="L174" s="132">
        <f>Tablo24[[#This Row],[TOPLAM]]+Tablo24[[#This Row],[0,20%]]-Tablo24[[#This Row],[0,10%]]</f>
        <v>41580</v>
      </c>
    </row>
    <row r="175" spans="1:12" hidden="1" x14ac:dyDescent="0.25">
      <c r="A175" s="130" t="s">
        <v>116</v>
      </c>
      <c r="B175" s="130" t="s">
        <v>106</v>
      </c>
      <c r="C175" s="130" t="s">
        <v>89</v>
      </c>
      <c r="D175" s="130" t="s">
        <v>295</v>
      </c>
      <c r="E175" s="130" t="s">
        <v>103</v>
      </c>
      <c r="F175" s="130">
        <v>21</v>
      </c>
      <c r="G175" s="131">
        <v>2300</v>
      </c>
      <c r="H175" s="132">
        <f>Tablo24[[#This Row],[GÜN
TEK]]*Tablo24[[#This Row],[TUTAR]]</f>
        <v>48300</v>
      </c>
      <c r="I175" s="132">
        <f>Tablo24[[#This Row],[TOPLAM]]*0.2</f>
        <v>9660</v>
      </c>
      <c r="J175" s="132">
        <f>SUM(Tablo24[[#This Row],[TOPLAM]:[0,20%]])</f>
        <v>57960</v>
      </c>
      <c r="K175" s="132">
        <f>Tablo24[[#This Row],[TOPLAM]]*0.1</f>
        <v>4830</v>
      </c>
      <c r="L175" s="132">
        <f>Tablo24[[#This Row],[TOPLAM]]+Tablo24[[#This Row],[0,20%]]-Tablo24[[#This Row],[0,10%]]</f>
        <v>53130</v>
      </c>
    </row>
    <row r="176" spans="1:12" hidden="1" x14ac:dyDescent="0.25">
      <c r="A176" s="130" t="s">
        <v>116</v>
      </c>
      <c r="B176" s="130" t="s">
        <v>417</v>
      </c>
      <c r="C176" s="130" t="s">
        <v>89</v>
      </c>
      <c r="E176" s="130" t="s">
        <v>103</v>
      </c>
      <c r="F176" s="130">
        <v>21</v>
      </c>
      <c r="G176" s="131">
        <v>1800</v>
      </c>
      <c r="H176" s="132">
        <f>Tablo24[[#This Row],[GÜN
TEK]]*Tablo24[[#This Row],[TUTAR]]</f>
        <v>37800</v>
      </c>
      <c r="I176" s="132">
        <f>Tablo24[[#This Row],[TOPLAM]]*0.2</f>
        <v>7560</v>
      </c>
      <c r="J176" s="132">
        <f>SUM(Tablo24[[#This Row],[TOPLAM]:[0,20%]])</f>
        <v>45360</v>
      </c>
      <c r="K176" s="132">
        <f>Tablo24[[#This Row],[TOPLAM]]*0.1</f>
        <v>3780</v>
      </c>
      <c r="L176" s="132">
        <f>Tablo24[[#This Row],[TOPLAM]]+Tablo24[[#This Row],[0,20%]]-Tablo24[[#This Row],[0,10%]]</f>
        <v>41580</v>
      </c>
    </row>
    <row r="177" spans="1:12" hidden="1" x14ac:dyDescent="0.25">
      <c r="A177" s="130" t="s">
        <v>116</v>
      </c>
      <c r="B177" s="130" t="s">
        <v>418</v>
      </c>
      <c r="C177" s="130" t="s">
        <v>89</v>
      </c>
      <c r="D177" s="130" t="s">
        <v>295</v>
      </c>
      <c r="E177" s="130" t="s">
        <v>103</v>
      </c>
      <c r="F177" s="130">
        <v>21</v>
      </c>
      <c r="G177" s="131">
        <v>2300</v>
      </c>
      <c r="H177" s="132">
        <f>Tablo24[[#This Row],[GÜN
TEK]]*Tablo24[[#This Row],[TUTAR]]</f>
        <v>48300</v>
      </c>
      <c r="I177" s="132">
        <f>Tablo24[[#This Row],[TOPLAM]]*0.2</f>
        <v>9660</v>
      </c>
      <c r="J177" s="132">
        <f>SUM(Tablo24[[#This Row],[TOPLAM]:[0,20%]])</f>
        <v>57960</v>
      </c>
      <c r="K177" s="132">
        <f>Tablo24[[#This Row],[TOPLAM]]*0.1</f>
        <v>4830</v>
      </c>
      <c r="L177" s="132">
        <f>Tablo24[[#This Row],[TOPLAM]]+Tablo24[[#This Row],[0,20%]]-Tablo24[[#This Row],[0,10%]]</f>
        <v>53130</v>
      </c>
    </row>
    <row r="178" spans="1:12" hidden="1" x14ac:dyDescent="0.25">
      <c r="A178" s="130" t="s">
        <v>116</v>
      </c>
      <c r="B178" s="130" t="s">
        <v>419</v>
      </c>
      <c r="C178" s="130" t="s">
        <v>89</v>
      </c>
      <c r="E178" s="130" t="s">
        <v>103</v>
      </c>
      <c r="F178" s="130">
        <v>18</v>
      </c>
      <c r="G178" s="131">
        <v>1800</v>
      </c>
      <c r="H178" s="132">
        <f>Tablo24[[#This Row],[GÜN
TEK]]*Tablo24[[#This Row],[TUTAR]]</f>
        <v>32400</v>
      </c>
      <c r="I178" s="132">
        <f>Tablo24[[#This Row],[TOPLAM]]*0.2</f>
        <v>6480</v>
      </c>
      <c r="J178" s="132">
        <f>SUM(Tablo24[[#This Row],[TOPLAM]:[0,20%]])</f>
        <v>38880</v>
      </c>
      <c r="K178" s="132">
        <f>Tablo24[[#This Row],[TOPLAM]]*0.1</f>
        <v>3240</v>
      </c>
      <c r="L178" s="132">
        <f>Tablo24[[#This Row],[TOPLAM]]+Tablo24[[#This Row],[0,20%]]-Tablo24[[#This Row],[0,10%]]</f>
        <v>35640</v>
      </c>
    </row>
    <row r="179" spans="1:12" hidden="1" x14ac:dyDescent="0.25">
      <c r="A179" s="130" t="s">
        <v>116</v>
      </c>
      <c r="B179" s="130" t="s">
        <v>420</v>
      </c>
      <c r="C179" s="130" t="s">
        <v>89</v>
      </c>
      <c r="E179" s="130" t="s">
        <v>429</v>
      </c>
      <c r="F179" s="130">
        <v>18</v>
      </c>
      <c r="G179" s="131">
        <v>900</v>
      </c>
      <c r="H179" s="132">
        <f>Tablo24[[#This Row],[GÜN
TEK]]*Tablo24[[#This Row],[TUTAR]]</f>
        <v>16200</v>
      </c>
      <c r="I179" s="132">
        <f>Tablo24[[#This Row],[TOPLAM]]*0.2</f>
        <v>3240</v>
      </c>
      <c r="J179" s="132">
        <f>SUM(Tablo24[[#This Row],[TOPLAM]:[0,20%]])</f>
        <v>19440</v>
      </c>
      <c r="K179" s="132">
        <f>Tablo24[[#This Row],[TOPLAM]]*0.1</f>
        <v>1620</v>
      </c>
      <c r="L179" s="132">
        <f>Tablo24[[#This Row],[TOPLAM]]+Tablo24[[#This Row],[0,20%]]-Tablo24[[#This Row],[0,10%]]</f>
        <v>17820</v>
      </c>
    </row>
    <row r="180" spans="1:12" hidden="1" x14ac:dyDescent="0.25">
      <c r="A180" s="130" t="s">
        <v>116</v>
      </c>
      <c r="B180" s="130" t="s">
        <v>300</v>
      </c>
      <c r="C180" s="130" t="s">
        <v>89</v>
      </c>
      <c r="E180" s="130" t="s">
        <v>421</v>
      </c>
      <c r="F180" s="130">
        <v>18</v>
      </c>
      <c r="G180" s="131">
        <v>1250</v>
      </c>
      <c r="H180" s="132">
        <f>Tablo24[[#This Row],[GÜN
TEK]]*Tablo24[[#This Row],[TUTAR]]</f>
        <v>22500</v>
      </c>
      <c r="I180" s="132">
        <f>Tablo24[[#This Row],[TOPLAM]]*0.2</f>
        <v>4500</v>
      </c>
      <c r="J180" s="132">
        <f>SUM(Tablo24[[#This Row],[TOPLAM]:[0,20%]])</f>
        <v>27000</v>
      </c>
      <c r="K180" s="132">
        <f>Tablo24[[#This Row],[TOPLAM]]*0.1</f>
        <v>2250</v>
      </c>
      <c r="L180" s="132">
        <f>Tablo24[[#This Row],[TOPLAM]]+Tablo24[[#This Row],[0,20%]]-Tablo24[[#This Row],[0,10%]]</f>
        <v>24750</v>
      </c>
    </row>
    <row r="181" spans="1:12" hidden="1" x14ac:dyDescent="0.25">
      <c r="A181" s="130" t="s">
        <v>116</v>
      </c>
      <c r="B181" s="130" t="s">
        <v>300</v>
      </c>
      <c r="C181" s="130" t="s">
        <v>89</v>
      </c>
      <c r="E181" s="130" t="s">
        <v>421</v>
      </c>
      <c r="F181" s="130">
        <v>18</v>
      </c>
      <c r="G181" s="131">
        <v>1250</v>
      </c>
      <c r="H181" s="132">
        <f>Tablo24[[#This Row],[GÜN
TEK]]*Tablo24[[#This Row],[TUTAR]]</f>
        <v>22500</v>
      </c>
      <c r="I181" s="132">
        <f>Tablo24[[#This Row],[TOPLAM]]*0.2</f>
        <v>4500</v>
      </c>
      <c r="J181" s="132">
        <f>SUM(Tablo24[[#This Row],[TOPLAM]:[0,20%]])</f>
        <v>27000</v>
      </c>
      <c r="K181" s="132">
        <f>Tablo24[[#This Row],[TOPLAM]]*0.1</f>
        <v>2250</v>
      </c>
      <c r="L181" s="132">
        <f>Tablo24[[#This Row],[TOPLAM]]+Tablo24[[#This Row],[0,20%]]-Tablo24[[#This Row],[0,10%]]</f>
        <v>24750</v>
      </c>
    </row>
    <row r="182" spans="1:12" hidden="1" x14ac:dyDescent="0.25">
      <c r="A182" s="130" t="s">
        <v>116</v>
      </c>
      <c r="B182" s="130" t="s">
        <v>300</v>
      </c>
      <c r="C182" s="130" t="s">
        <v>89</v>
      </c>
      <c r="E182" s="130" t="s">
        <v>421</v>
      </c>
      <c r="G182" s="131">
        <v>1250</v>
      </c>
      <c r="H182" s="132">
        <f>Tablo24[[#This Row],[GÜN
TEK]]*Tablo24[[#This Row],[TUTAR]]</f>
        <v>0</v>
      </c>
      <c r="I182" s="132">
        <f>Tablo24[[#This Row],[TOPLAM]]*0.2</f>
        <v>0</v>
      </c>
      <c r="J182" s="132">
        <f>SUM(Tablo24[[#This Row],[TOPLAM]:[0,20%]])</f>
        <v>0</v>
      </c>
      <c r="K182" s="132">
        <f>Tablo24[[#This Row],[TOPLAM]]*0.1</f>
        <v>0</v>
      </c>
      <c r="L182" s="132">
        <f>Tablo24[[#This Row],[TOPLAM]]+Tablo24[[#This Row],[0,20%]]-Tablo24[[#This Row],[0,10%]]</f>
        <v>0</v>
      </c>
    </row>
    <row r="183" spans="1:12" hidden="1" x14ac:dyDescent="0.25">
      <c r="A183" s="130" t="s">
        <v>116</v>
      </c>
      <c r="B183" s="130" t="s">
        <v>128</v>
      </c>
      <c r="C183" s="130" t="s">
        <v>302</v>
      </c>
      <c r="E183" s="130" t="s">
        <v>421</v>
      </c>
      <c r="G183" s="131">
        <v>1500</v>
      </c>
      <c r="H183" s="132">
        <f>Tablo24[[#This Row],[GÜN
TEK]]*Tablo24[[#This Row],[TUTAR]]</f>
        <v>0</v>
      </c>
      <c r="I183" s="132">
        <f>Tablo24[[#This Row],[TOPLAM]]*0.2</f>
        <v>0</v>
      </c>
      <c r="J183" s="132">
        <f>SUM(Tablo24[[#This Row],[TOPLAM]:[0,20%]])</f>
        <v>0</v>
      </c>
      <c r="K183" s="132">
        <f>Tablo24[[#This Row],[TOPLAM]]*0.1</f>
        <v>0</v>
      </c>
      <c r="L183" s="132">
        <f>Tablo24[[#This Row],[TOPLAM]]+Tablo24[[#This Row],[0,20%]]-Tablo24[[#This Row],[0,10%]]</f>
        <v>0</v>
      </c>
    </row>
    <row r="184" spans="1:12" hidden="1" x14ac:dyDescent="0.25">
      <c r="A184" s="130" t="s">
        <v>116</v>
      </c>
      <c r="B184" s="130" t="s">
        <v>20</v>
      </c>
      <c r="C184" s="130" t="s">
        <v>21</v>
      </c>
      <c r="E184" s="130" t="s">
        <v>421</v>
      </c>
      <c r="F184" s="130">
        <v>1</v>
      </c>
      <c r="G184" s="131">
        <v>1500</v>
      </c>
      <c r="H184" s="132">
        <f>Tablo24[[#This Row],[GÜN
TEK]]*Tablo24[[#This Row],[TUTAR]]</f>
        <v>1500</v>
      </c>
      <c r="I184" s="132">
        <f>Tablo24[[#This Row],[TOPLAM]]*0.2</f>
        <v>300</v>
      </c>
      <c r="J184" s="132">
        <f>SUM(Tablo24[[#This Row],[TOPLAM]:[0,20%]])</f>
        <v>1800</v>
      </c>
      <c r="K184" s="132">
        <f>Tablo24[[#This Row],[TOPLAM]]*0.1</f>
        <v>150</v>
      </c>
      <c r="L184" s="132">
        <f>Tablo24[[#This Row],[TOPLAM]]+Tablo24[[#This Row],[0,20%]]-Tablo24[[#This Row],[0,10%]]</f>
        <v>1650</v>
      </c>
    </row>
    <row r="185" spans="1:12" hidden="1" x14ac:dyDescent="0.25">
      <c r="A185" s="130" t="s">
        <v>116</v>
      </c>
      <c r="B185" s="130" t="s">
        <v>140</v>
      </c>
      <c r="C185" s="130" t="s">
        <v>89</v>
      </c>
      <c r="E185" s="130" t="s">
        <v>140</v>
      </c>
      <c r="F185" s="130">
        <v>3</v>
      </c>
      <c r="G185" s="131">
        <v>1500</v>
      </c>
      <c r="H185" s="132">
        <f>Tablo24[[#This Row],[GÜN
TEK]]*Tablo24[[#This Row],[TUTAR]]</f>
        <v>4500</v>
      </c>
      <c r="I185" s="132">
        <f>Tablo24[[#This Row],[TOPLAM]]*0.2</f>
        <v>900</v>
      </c>
      <c r="J185" s="132">
        <f>SUM(Tablo24[[#This Row],[TOPLAM]:[0,20%]])</f>
        <v>5400</v>
      </c>
      <c r="K185" s="132">
        <f>Tablo24[[#This Row],[TOPLAM]]*0.1</f>
        <v>450</v>
      </c>
      <c r="L185" s="132">
        <f>Tablo24[[#This Row],[TOPLAM]]+Tablo24[[#This Row],[0,20%]]-Tablo24[[#This Row],[0,10%]]</f>
        <v>4950</v>
      </c>
    </row>
    <row r="186" spans="1:12" hidden="1" x14ac:dyDescent="0.25">
      <c r="A186" s="130" t="s">
        <v>116</v>
      </c>
      <c r="B186" s="130" t="s">
        <v>300</v>
      </c>
      <c r="C186" s="130" t="s">
        <v>89</v>
      </c>
      <c r="E186" s="130" t="s">
        <v>422</v>
      </c>
      <c r="F186" s="130">
        <v>18</v>
      </c>
      <c r="G186" s="131">
        <v>1250</v>
      </c>
      <c r="H186" s="132">
        <f>Tablo24[[#This Row],[GÜN
TEK]]*Tablo24[[#This Row],[TUTAR]]</f>
        <v>22500</v>
      </c>
      <c r="I186" s="132">
        <f>Tablo24[[#This Row],[TOPLAM]]*0.2</f>
        <v>4500</v>
      </c>
      <c r="J186" s="132">
        <f>SUM(Tablo24[[#This Row],[TOPLAM]:[0,20%]])</f>
        <v>27000</v>
      </c>
      <c r="K186" s="132">
        <f>Tablo24[[#This Row],[TOPLAM]]*0.1</f>
        <v>2250</v>
      </c>
      <c r="L186" s="132">
        <f>Tablo24[[#This Row],[TOPLAM]]+Tablo24[[#This Row],[0,20%]]-Tablo24[[#This Row],[0,10%]]</f>
        <v>24750</v>
      </c>
    </row>
    <row r="187" spans="1:12" ht="14.4" hidden="1" customHeight="1" x14ac:dyDescent="0.25">
      <c r="A187" s="130" t="s">
        <v>116</v>
      </c>
      <c r="B187" s="130" t="s">
        <v>300</v>
      </c>
      <c r="C187" s="130" t="s">
        <v>89</v>
      </c>
      <c r="E187" s="130" t="s">
        <v>422</v>
      </c>
      <c r="F187" s="130">
        <v>18</v>
      </c>
      <c r="G187" s="131">
        <v>1250</v>
      </c>
      <c r="H187" s="132">
        <f>Tablo24[[#This Row],[GÜN
TEK]]*Tablo24[[#This Row],[TUTAR]]</f>
        <v>22500</v>
      </c>
      <c r="I187" s="132">
        <f>Tablo24[[#This Row],[TOPLAM]]*0.2</f>
        <v>4500</v>
      </c>
      <c r="J187" s="132">
        <f>SUM(Tablo24[[#This Row],[TOPLAM]:[0,20%]])</f>
        <v>27000</v>
      </c>
      <c r="K187" s="132">
        <f>Tablo24[[#This Row],[TOPLAM]]*0.1</f>
        <v>2250</v>
      </c>
      <c r="L187" s="132">
        <f>Tablo24[[#This Row],[TOPLAM]]+Tablo24[[#This Row],[0,20%]]-Tablo24[[#This Row],[0,10%]]</f>
        <v>24750</v>
      </c>
    </row>
    <row r="188" spans="1:12" hidden="1" x14ac:dyDescent="0.25">
      <c r="A188" s="130" t="s">
        <v>116</v>
      </c>
      <c r="B188" s="130" t="s">
        <v>300</v>
      </c>
      <c r="C188" s="130" t="s">
        <v>89</v>
      </c>
      <c r="E188" s="130" t="s">
        <v>422</v>
      </c>
      <c r="F188" s="130">
        <v>35</v>
      </c>
      <c r="G188" s="131">
        <v>1250</v>
      </c>
      <c r="H188" s="132">
        <f>Tablo24[[#This Row],[GÜN
TEK]]*Tablo24[[#This Row],[TUTAR]]</f>
        <v>43750</v>
      </c>
      <c r="I188" s="132">
        <f>Tablo24[[#This Row],[TOPLAM]]*0.2</f>
        <v>8750</v>
      </c>
      <c r="J188" s="132">
        <f>SUM(Tablo24[[#This Row],[TOPLAM]:[0,20%]])</f>
        <v>52500</v>
      </c>
      <c r="K188" s="132">
        <f>Tablo24[[#This Row],[TOPLAM]]*0.1</f>
        <v>4375</v>
      </c>
      <c r="L188" s="132">
        <f>Tablo24[[#This Row],[TOPLAM]]+Tablo24[[#This Row],[0,20%]]-Tablo24[[#This Row],[0,10%]]</f>
        <v>48125</v>
      </c>
    </row>
    <row r="189" spans="1:12" hidden="1" x14ac:dyDescent="0.25">
      <c r="A189" s="130" t="s">
        <v>116</v>
      </c>
      <c r="B189" s="130" t="s">
        <v>424</v>
      </c>
      <c r="C189" s="130" t="s">
        <v>279</v>
      </c>
      <c r="E189" s="130" t="s">
        <v>422</v>
      </c>
      <c r="F189" s="130">
        <v>15</v>
      </c>
      <c r="G189" s="131">
        <v>1750</v>
      </c>
      <c r="H189" s="132">
        <f>Tablo24[[#This Row],[GÜN
TEK]]*Tablo24[[#This Row],[TUTAR]]</f>
        <v>26250</v>
      </c>
      <c r="I189" s="132">
        <f>Tablo24[[#This Row],[TOPLAM]]*0.2</f>
        <v>5250</v>
      </c>
      <c r="J189" s="132">
        <f>SUM(Tablo24[[#This Row],[TOPLAM]:[0,20%]])</f>
        <v>31500</v>
      </c>
      <c r="K189" s="132">
        <f>Tablo24[[#This Row],[TOPLAM]]*0.1</f>
        <v>2625</v>
      </c>
      <c r="L189" s="132">
        <f>Tablo24[[#This Row],[TOPLAM]]+Tablo24[[#This Row],[0,20%]]-Tablo24[[#This Row],[0,10%]]</f>
        <v>28875</v>
      </c>
    </row>
    <row r="190" spans="1:12" hidden="1" x14ac:dyDescent="0.25">
      <c r="A190" s="130" t="s">
        <v>116</v>
      </c>
      <c r="B190" s="130" t="s">
        <v>20</v>
      </c>
      <c r="C190" s="130" t="s">
        <v>21</v>
      </c>
      <c r="E190" s="130" t="s">
        <v>594</v>
      </c>
      <c r="F190" s="130">
        <v>6</v>
      </c>
      <c r="G190" s="131">
        <v>1500</v>
      </c>
      <c r="H190" s="132">
        <f>Tablo24[[#This Row],[GÜN
TEK]]*Tablo24[[#This Row],[TUTAR]]</f>
        <v>9000</v>
      </c>
      <c r="I190" s="132">
        <f>Tablo24[[#This Row],[TOPLAM]]*0.2</f>
        <v>1800</v>
      </c>
      <c r="J190" s="132">
        <f>SUM(Tablo24[[#This Row],[TOPLAM]:[0,20%]])</f>
        <v>10800</v>
      </c>
      <c r="K190" s="132">
        <f>Tablo24[[#This Row],[TOPLAM]]*0.1</f>
        <v>900</v>
      </c>
      <c r="L190" s="132">
        <f>Tablo24[[#This Row],[TOPLAM]]+Tablo24[[#This Row],[0,20%]]-Tablo24[[#This Row],[0,10%]]</f>
        <v>9900</v>
      </c>
    </row>
    <row r="191" spans="1:12" hidden="1" x14ac:dyDescent="0.25">
      <c r="A191" s="130" t="s">
        <v>116</v>
      </c>
      <c r="B191" s="130" t="s">
        <v>423</v>
      </c>
      <c r="C191" s="130" t="s">
        <v>21</v>
      </c>
      <c r="D191" s="130" t="s">
        <v>103</v>
      </c>
      <c r="E191" s="130" t="s">
        <v>595</v>
      </c>
      <c r="F191" s="130">
        <v>34</v>
      </c>
      <c r="G191" s="131">
        <v>1175</v>
      </c>
      <c r="H191" s="132">
        <f>Tablo24[[#This Row],[GÜN
TEK]]*Tablo24[[#This Row],[TUTAR]]</f>
        <v>39950</v>
      </c>
      <c r="I191" s="132">
        <f>Tablo24[[#This Row],[TOPLAM]]*0.2</f>
        <v>7990</v>
      </c>
      <c r="J191" s="132">
        <f>SUM(Tablo24[[#This Row],[TOPLAM]:[0,20%]])</f>
        <v>47940</v>
      </c>
      <c r="K191" s="132">
        <f>Tablo24[[#This Row],[TOPLAM]]*0.1</f>
        <v>3995</v>
      </c>
      <c r="L191" s="132">
        <f>Tablo24[[#This Row],[TOPLAM]]+Tablo24[[#This Row],[0,20%]]-Tablo24[[#This Row],[0,10%]]</f>
        <v>43945</v>
      </c>
    </row>
    <row r="192" spans="1:12" hidden="1" x14ac:dyDescent="0.25">
      <c r="A192" s="130" t="s">
        <v>116</v>
      </c>
      <c r="B192" s="130" t="s">
        <v>128</v>
      </c>
      <c r="C192" s="130" t="s">
        <v>302</v>
      </c>
      <c r="E192" s="130" t="s">
        <v>422</v>
      </c>
      <c r="G192" s="131">
        <v>1500</v>
      </c>
      <c r="H192" s="132">
        <f>Tablo24[[#This Row],[GÜN
TEK]]*Tablo24[[#This Row],[TUTAR]]</f>
        <v>0</v>
      </c>
      <c r="I192" s="132">
        <f>Tablo24[[#This Row],[TOPLAM]]*0.2</f>
        <v>0</v>
      </c>
      <c r="J192" s="132">
        <f>SUM(Tablo24[[#This Row],[TOPLAM]:[0,20%]])</f>
        <v>0</v>
      </c>
      <c r="K192" s="132">
        <f>Tablo24[[#This Row],[TOPLAM]]*0.1</f>
        <v>0</v>
      </c>
      <c r="L192" s="132">
        <f>Tablo24[[#This Row],[TOPLAM]]+Tablo24[[#This Row],[0,20%]]-Tablo24[[#This Row],[0,10%]]</f>
        <v>0</v>
      </c>
    </row>
    <row r="193" spans="1:12" hidden="1" x14ac:dyDescent="0.25">
      <c r="A193" s="130" t="s">
        <v>116</v>
      </c>
      <c r="B193" s="130" t="s">
        <v>127</v>
      </c>
      <c r="C193" s="130" t="s">
        <v>302</v>
      </c>
      <c r="E193" s="130" t="s">
        <v>422</v>
      </c>
      <c r="G193" s="131">
        <v>1500</v>
      </c>
      <c r="H193" s="132">
        <f>Tablo24[[#This Row],[GÜN
TEK]]*Tablo24[[#This Row],[TUTAR]]</f>
        <v>0</v>
      </c>
      <c r="I193" s="132">
        <f>Tablo24[[#This Row],[TOPLAM]]*0.2</f>
        <v>0</v>
      </c>
      <c r="J193" s="132">
        <f>SUM(Tablo24[[#This Row],[TOPLAM]:[0,20%]])</f>
        <v>0</v>
      </c>
      <c r="K193" s="132">
        <f>Tablo24[[#This Row],[TOPLAM]]*0.1</f>
        <v>0</v>
      </c>
      <c r="L193" s="132">
        <f>Tablo24[[#This Row],[TOPLAM]]+Tablo24[[#This Row],[0,20%]]-Tablo24[[#This Row],[0,10%]]</f>
        <v>0</v>
      </c>
    </row>
    <row r="194" spans="1:12" hidden="1" x14ac:dyDescent="0.25">
      <c r="A194" s="130" t="s">
        <v>116</v>
      </c>
      <c r="B194" s="130" t="s">
        <v>223</v>
      </c>
      <c r="C194" s="130" t="s">
        <v>494</v>
      </c>
      <c r="E194" s="130" t="s">
        <v>422</v>
      </c>
      <c r="G194" s="131">
        <v>2450</v>
      </c>
      <c r="H194" s="132">
        <f>Tablo24[[#This Row],[GÜN
TEK]]*Tablo24[[#This Row],[TUTAR]]</f>
        <v>0</v>
      </c>
      <c r="I194" s="132">
        <f>Tablo24[[#This Row],[TOPLAM]]*0.2</f>
        <v>0</v>
      </c>
      <c r="J194" s="132">
        <f>SUM(Tablo24[[#This Row],[TOPLAM]:[0,20%]])</f>
        <v>0</v>
      </c>
      <c r="K194" s="132">
        <f>Tablo24[[#This Row],[TOPLAM]]*0.1</f>
        <v>0</v>
      </c>
      <c r="L194" s="132">
        <f>Tablo24[[#This Row],[TOPLAM]]+Tablo24[[#This Row],[0,20%]]-Tablo24[[#This Row],[0,10%]]</f>
        <v>0</v>
      </c>
    </row>
    <row r="195" spans="1:12" hidden="1" x14ac:dyDescent="0.25">
      <c r="A195" s="130" t="s">
        <v>116</v>
      </c>
      <c r="B195" s="130" t="s">
        <v>425</v>
      </c>
      <c r="C195" s="130" t="s">
        <v>409</v>
      </c>
      <c r="E195" s="130" t="s">
        <v>422</v>
      </c>
      <c r="G195" s="131">
        <v>1500</v>
      </c>
      <c r="H195" s="132">
        <f>Tablo24[[#This Row],[GÜN
TEK]]*Tablo24[[#This Row],[TUTAR]]</f>
        <v>0</v>
      </c>
      <c r="I195" s="132">
        <f>Tablo24[[#This Row],[TOPLAM]]*0.2</f>
        <v>0</v>
      </c>
      <c r="J195" s="132">
        <f>SUM(Tablo24[[#This Row],[TOPLAM]:[0,20%]])</f>
        <v>0</v>
      </c>
      <c r="K195" s="132">
        <f>Tablo24[[#This Row],[TOPLAM]]*0.1</f>
        <v>0</v>
      </c>
      <c r="L195" s="132">
        <f>Tablo24[[#This Row],[TOPLAM]]+Tablo24[[#This Row],[0,20%]]-Tablo24[[#This Row],[0,10%]]</f>
        <v>0</v>
      </c>
    </row>
    <row r="196" spans="1:12" hidden="1" x14ac:dyDescent="0.25">
      <c r="A196" s="130" t="s">
        <v>116</v>
      </c>
      <c r="B196" s="130" t="s">
        <v>143</v>
      </c>
      <c r="C196" s="130" t="s">
        <v>279</v>
      </c>
      <c r="E196" s="130" t="s">
        <v>426</v>
      </c>
      <c r="F196" s="130">
        <v>2</v>
      </c>
      <c r="G196" s="131">
        <v>2800</v>
      </c>
      <c r="H196" s="132">
        <f>Tablo24[[#This Row],[GÜN
TEK]]*Tablo24[[#This Row],[TUTAR]]</f>
        <v>5600</v>
      </c>
      <c r="I196" s="132">
        <f>Tablo24[[#This Row],[TOPLAM]]*0.2</f>
        <v>1120</v>
      </c>
      <c r="J196" s="132">
        <f>SUM(Tablo24[[#This Row],[TOPLAM]:[0,20%]])</f>
        <v>6720</v>
      </c>
      <c r="K196" s="132">
        <f>Tablo24[[#This Row],[TOPLAM]]*0.1</f>
        <v>560</v>
      </c>
      <c r="L196" s="132">
        <f>Tablo24[[#This Row],[TOPLAM]]+Tablo24[[#This Row],[0,20%]]-Tablo24[[#This Row],[0,10%]]</f>
        <v>6160</v>
      </c>
    </row>
    <row r="197" spans="1:12" hidden="1" x14ac:dyDescent="0.25">
      <c r="A197" s="130" t="s">
        <v>116</v>
      </c>
      <c r="B197" s="130" t="s">
        <v>300</v>
      </c>
      <c r="C197" s="130" t="s">
        <v>89</v>
      </c>
      <c r="E197" s="130" t="s">
        <v>426</v>
      </c>
      <c r="F197" s="130">
        <v>7</v>
      </c>
      <c r="G197" s="131">
        <v>1800</v>
      </c>
      <c r="H197" s="132">
        <f>Tablo24[[#This Row],[GÜN
TEK]]*Tablo24[[#This Row],[TUTAR]]</f>
        <v>12600</v>
      </c>
      <c r="I197" s="132">
        <f>Tablo24[[#This Row],[TOPLAM]]*0.2</f>
        <v>2520</v>
      </c>
      <c r="J197" s="132">
        <f>SUM(Tablo24[[#This Row],[TOPLAM]:[0,20%]])</f>
        <v>15120</v>
      </c>
      <c r="K197" s="132">
        <f>Tablo24[[#This Row],[TOPLAM]]*0.1</f>
        <v>1260</v>
      </c>
      <c r="L197" s="132">
        <f>Tablo24[[#This Row],[TOPLAM]]+Tablo24[[#This Row],[0,20%]]-Tablo24[[#This Row],[0,10%]]</f>
        <v>13860</v>
      </c>
    </row>
    <row r="198" spans="1:12" hidden="1" x14ac:dyDescent="0.25">
      <c r="A198" s="130" t="s">
        <v>116</v>
      </c>
      <c r="B198" s="130" t="s">
        <v>20</v>
      </c>
      <c r="C198" s="130" t="s">
        <v>21</v>
      </c>
      <c r="E198" s="130" t="s">
        <v>426</v>
      </c>
      <c r="F198" s="130">
        <v>4</v>
      </c>
      <c r="G198" s="131">
        <v>2350</v>
      </c>
      <c r="H198" s="132">
        <f>Tablo24[[#This Row],[GÜN
TEK]]*Tablo24[[#This Row],[TUTAR]]</f>
        <v>9400</v>
      </c>
      <c r="I198" s="132">
        <f>Tablo24[[#This Row],[TOPLAM]]*0.2</f>
        <v>1880</v>
      </c>
      <c r="J198" s="132">
        <f>SUM(Tablo24[[#This Row],[TOPLAM]:[0,20%]])</f>
        <v>11280</v>
      </c>
      <c r="K198" s="132">
        <f>Tablo24[[#This Row],[TOPLAM]]*0.1</f>
        <v>940</v>
      </c>
      <c r="L198" s="132">
        <f>Tablo24[[#This Row],[TOPLAM]]+Tablo24[[#This Row],[0,20%]]-Tablo24[[#This Row],[0,10%]]</f>
        <v>10340</v>
      </c>
    </row>
    <row r="199" spans="1:12" hidden="1" x14ac:dyDescent="0.25">
      <c r="A199" s="130" t="s">
        <v>116</v>
      </c>
      <c r="B199" s="130" t="s">
        <v>427</v>
      </c>
      <c r="C199" s="130" t="s">
        <v>302</v>
      </c>
      <c r="E199" s="130" t="s">
        <v>426</v>
      </c>
      <c r="F199" s="130">
        <v>1</v>
      </c>
      <c r="G199" s="131">
        <v>2300</v>
      </c>
      <c r="H199" s="132">
        <f>Tablo24[[#This Row],[GÜN
TEK]]*Tablo24[[#This Row],[TUTAR]]</f>
        <v>2300</v>
      </c>
      <c r="I199" s="132">
        <f>Tablo24[[#This Row],[TOPLAM]]*0.2</f>
        <v>460</v>
      </c>
      <c r="J199" s="132">
        <f>SUM(Tablo24[[#This Row],[TOPLAM]:[0,20%]])</f>
        <v>2760</v>
      </c>
      <c r="K199" s="132">
        <f>Tablo24[[#This Row],[TOPLAM]]*0.1</f>
        <v>230</v>
      </c>
      <c r="L199" s="132">
        <f>Tablo24[[#This Row],[TOPLAM]]+Tablo24[[#This Row],[0,20%]]-Tablo24[[#This Row],[0,10%]]</f>
        <v>2530</v>
      </c>
    </row>
    <row r="200" spans="1:12" hidden="1" x14ac:dyDescent="0.25">
      <c r="A200" s="130" t="s">
        <v>116</v>
      </c>
      <c r="B200" s="130" t="s">
        <v>428</v>
      </c>
      <c r="C200" s="130" t="s">
        <v>406</v>
      </c>
      <c r="E200" s="130" t="s">
        <v>426</v>
      </c>
      <c r="H200" s="132">
        <f>Tablo24[[#This Row],[GÜN
TEK]]*Tablo24[[#This Row],[TUTAR]]</f>
        <v>0</v>
      </c>
      <c r="I200" s="132">
        <f>Tablo24[[#This Row],[TOPLAM]]*0.2</f>
        <v>0</v>
      </c>
      <c r="J200" s="132">
        <f>SUM(Tablo24[[#This Row],[TOPLAM]:[0,20%]])</f>
        <v>0</v>
      </c>
      <c r="K200" s="132">
        <f>Tablo24[[#This Row],[TOPLAM]]*0.1</f>
        <v>0</v>
      </c>
      <c r="L200" s="132">
        <f>Tablo24[[#This Row],[TOPLAM]]+Tablo24[[#This Row],[0,20%]]-Tablo24[[#This Row],[0,10%]]</f>
        <v>0</v>
      </c>
    </row>
    <row r="201" spans="1:12" hidden="1" x14ac:dyDescent="0.25">
      <c r="A201" s="130" t="s">
        <v>116</v>
      </c>
      <c r="B201" s="130" t="s">
        <v>223</v>
      </c>
      <c r="C201" s="130" t="s">
        <v>494</v>
      </c>
      <c r="E201" s="130" t="s">
        <v>426</v>
      </c>
      <c r="H201" s="132">
        <f>Tablo24[[#This Row],[GÜN
TEK]]*Tablo24[[#This Row],[TUTAR]]</f>
        <v>0</v>
      </c>
      <c r="I201" s="132">
        <f>Tablo24[[#This Row],[TOPLAM]]*0.2</f>
        <v>0</v>
      </c>
      <c r="J201" s="132">
        <f>SUM(Tablo24[[#This Row],[TOPLAM]:[0,20%]])</f>
        <v>0</v>
      </c>
      <c r="K201" s="132">
        <f>Tablo24[[#This Row],[TOPLAM]]*0.1</f>
        <v>0</v>
      </c>
      <c r="L201" s="132">
        <f>Tablo24[[#This Row],[TOPLAM]]+Tablo24[[#This Row],[0,20%]]-Tablo24[[#This Row],[0,10%]]</f>
        <v>0</v>
      </c>
    </row>
    <row r="202" spans="1:12" hidden="1" x14ac:dyDescent="0.25">
      <c r="A202" s="130" t="s">
        <v>116</v>
      </c>
      <c r="B202" s="130" t="s">
        <v>425</v>
      </c>
      <c r="C202" s="130" t="s">
        <v>409</v>
      </c>
      <c r="E202" s="130" t="s">
        <v>426</v>
      </c>
      <c r="H202" s="132">
        <f>Tablo24[[#This Row],[GÜN
TEK]]*Tablo24[[#This Row],[TUTAR]]</f>
        <v>0</v>
      </c>
      <c r="I202" s="132">
        <f>Tablo24[[#This Row],[TOPLAM]]*0.2</f>
        <v>0</v>
      </c>
      <c r="J202" s="132">
        <f>SUM(Tablo24[[#This Row],[TOPLAM]:[0,20%]])</f>
        <v>0</v>
      </c>
      <c r="K202" s="132">
        <f>Tablo24[[#This Row],[TOPLAM]]*0.1</f>
        <v>0</v>
      </c>
      <c r="L202" s="132">
        <f>Tablo24[[#This Row],[TOPLAM]]+Tablo24[[#This Row],[0,20%]]-Tablo24[[#This Row],[0,10%]]</f>
        <v>0</v>
      </c>
    </row>
    <row r="203" spans="1:12" hidden="1" x14ac:dyDescent="0.25">
      <c r="A203" s="130" t="s">
        <v>116</v>
      </c>
      <c r="B203" s="130" t="s">
        <v>536</v>
      </c>
      <c r="C203" s="130" t="s">
        <v>114</v>
      </c>
      <c r="E203" s="130" t="s">
        <v>28</v>
      </c>
      <c r="G203" s="131">
        <v>750</v>
      </c>
      <c r="H203" s="132">
        <f>Tablo24[[#This Row],[GÜN
TEK]]*Tablo24[[#This Row],[TUTAR]]</f>
        <v>0</v>
      </c>
      <c r="I203" s="132">
        <f>Tablo24[[#This Row],[TOPLAM]]*0.2</f>
        <v>0</v>
      </c>
      <c r="J203" s="132">
        <f>SUM(Tablo24[[#This Row],[TOPLAM]:[0,20%]])</f>
        <v>0</v>
      </c>
      <c r="K203" s="132">
        <f>Tablo24[[#This Row],[TOPLAM]]*0.1</f>
        <v>0</v>
      </c>
      <c r="L203" s="132">
        <f>Tablo24[[#This Row],[TOPLAM]]+Tablo24[[#This Row],[0,20%]]-Tablo24[[#This Row],[0,10%]]</f>
        <v>0</v>
      </c>
    </row>
    <row r="204" spans="1:12" ht="15" hidden="1" thickTop="1" thickBot="1" x14ac:dyDescent="0.3">
      <c r="G204" s="130"/>
      <c r="H204" s="133">
        <f>SUBTOTAL(109,H149:H203)</f>
        <v>0</v>
      </c>
      <c r="I204" s="133">
        <f>Tablo24[[#This Row],[TOPLAM]]*0.2</f>
        <v>0</v>
      </c>
      <c r="J204" s="133">
        <f>SUM(Tablo24[[#This Row],[TOPLAM]:[0,20%]])</f>
        <v>0</v>
      </c>
      <c r="K204" s="133">
        <f>Tablo24[[#This Row],[TOPLAM]]*0.1</f>
        <v>0</v>
      </c>
      <c r="L204" s="133">
        <f>Tablo24[[#This Row],[TOPLAM]]+Tablo24[[#This Row],[0,20%]]-Tablo24[[#This Row],[0,10%]]</f>
        <v>0</v>
      </c>
    </row>
    <row r="206" spans="1:12" s="128" customFormat="1" ht="34.950000000000003" customHeight="1" thickBot="1" x14ac:dyDescent="0.35">
      <c r="A206" s="126" t="s">
        <v>202</v>
      </c>
      <c r="B206" s="126" t="s">
        <v>327</v>
      </c>
      <c r="C206" s="126" t="s">
        <v>0</v>
      </c>
      <c r="D206" s="126" t="s">
        <v>1</v>
      </c>
      <c r="E206" s="126" t="s">
        <v>326</v>
      </c>
      <c r="F206" s="127" t="s">
        <v>328</v>
      </c>
      <c r="G206" s="134" t="s">
        <v>2</v>
      </c>
      <c r="H206" s="134" t="s">
        <v>3</v>
      </c>
      <c r="I206" s="134" t="s">
        <v>229</v>
      </c>
      <c r="J206" s="134" t="s">
        <v>4</v>
      </c>
      <c r="K206" s="134" t="s">
        <v>228</v>
      </c>
      <c r="L206" s="134" t="s">
        <v>5</v>
      </c>
    </row>
    <row r="207" spans="1:12" x14ac:dyDescent="0.25">
      <c r="A207" s="130" t="s">
        <v>129</v>
      </c>
      <c r="B207" s="130" t="s">
        <v>430</v>
      </c>
      <c r="C207" s="130" t="s">
        <v>109</v>
      </c>
      <c r="E207" s="130" t="s">
        <v>103</v>
      </c>
      <c r="F207" s="130">
        <v>25</v>
      </c>
      <c r="G207" s="131">
        <v>3500</v>
      </c>
      <c r="H207" s="132">
        <f>Tablo25[[#This Row],[GÜN
TEK]]*Tablo25[[#This Row],[TUTAR]]</f>
        <v>87500</v>
      </c>
      <c r="I207" s="132">
        <f>Tablo25[[#This Row],[TOPLAM]]*0.2</f>
        <v>17500</v>
      </c>
      <c r="J207" s="132">
        <f>SUM(Tablo25[[#This Row],[TOPLAM]:[0,20%]])</f>
        <v>105000</v>
      </c>
      <c r="K207" s="132">
        <f>Tablo25[[#This Row],[TOPLAM]]*0.1</f>
        <v>8750</v>
      </c>
      <c r="L207" s="132">
        <f>Tablo25[[#This Row],[TOPLAM]]+Tablo25[[#This Row],[0,20%]]-Tablo25[[#This Row],[0,10%]]</f>
        <v>96250</v>
      </c>
    </row>
    <row r="208" spans="1:12" x14ac:dyDescent="0.25">
      <c r="A208" s="130" t="s">
        <v>129</v>
      </c>
      <c r="B208" s="130" t="s">
        <v>430</v>
      </c>
      <c r="C208" s="130" t="s">
        <v>109</v>
      </c>
      <c r="D208" s="130" t="s">
        <v>153</v>
      </c>
      <c r="E208" s="130" t="s">
        <v>431</v>
      </c>
      <c r="F208" s="130">
        <v>29</v>
      </c>
      <c r="G208" s="131">
        <v>2300</v>
      </c>
      <c r="H208" s="132">
        <f>Tablo25[[#This Row],[GÜN
TEK]]*Tablo25[[#This Row],[TUTAR]]</f>
        <v>66700</v>
      </c>
      <c r="I208" s="132">
        <f>Tablo25[[#This Row],[TOPLAM]]*0.2</f>
        <v>13340</v>
      </c>
      <c r="J208" s="132">
        <f>SUM(Tablo25[[#This Row],[TOPLAM]:[0,20%]])</f>
        <v>80040</v>
      </c>
      <c r="K208" s="132">
        <f>Tablo25[[#This Row],[TOPLAM]]*0.1</f>
        <v>6670</v>
      </c>
      <c r="L208" s="132">
        <f>Tablo25[[#This Row],[TOPLAM]]+Tablo25[[#This Row],[0,20%]]-Tablo25[[#This Row],[0,10%]]</f>
        <v>73370</v>
      </c>
    </row>
    <row r="209" spans="1:12" x14ac:dyDescent="0.25">
      <c r="A209" s="130" t="s">
        <v>129</v>
      </c>
      <c r="B209" s="130" t="s">
        <v>430</v>
      </c>
      <c r="C209" s="130" t="s">
        <v>109</v>
      </c>
      <c r="D209" s="130" t="s">
        <v>153</v>
      </c>
      <c r="E209" s="130" t="s">
        <v>10</v>
      </c>
      <c r="F209" s="130">
        <v>9</v>
      </c>
      <c r="G209" s="131">
        <v>2300</v>
      </c>
      <c r="H209" s="132">
        <f>Tablo25[[#This Row],[GÜN
TEK]]*Tablo25[[#This Row],[TUTAR]]</f>
        <v>20700</v>
      </c>
      <c r="I209" s="132">
        <f>Tablo25[[#This Row],[TOPLAM]]*0.2</f>
        <v>4140</v>
      </c>
      <c r="J209" s="132">
        <f>SUM(Tablo25[[#This Row],[TOPLAM]:[0,20%]])</f>
        <v>24840</v>
      </c>
      <c r="K209" s="132">
        <f>Tablo25[[#This Row],[TOPLAM]]*0.1</f>
        <v>2070</v>
      </c>
      <c r="L209" s="132">
        <f>Tablo25[[#This Row],[TOPLAM]]+Tablo25[[#This Row],[0,20%]]-Tablo25[[#This Row],[0,10%]]</f>
        <v>22770</v>
      </c>
    </row>
    <row r="210" spans="1:12" x14ac:dyDescent="0.25">
      <c r="A210" s="130" t="s">
        <v>129</v>
      </c>
      <c r="B210" s="130" t="s">
        <v>534</v>
      </c>
      <c r="C210" s="130" t="s">
        <v>109</v>
      </c>
      <c r="D210" s="130" t="s">
        <v>153</v>
      </c>
      <c r="E210" s="130" t="s">
        <v>535</v>
      </c>
      <c r="G210" s="131">
        <v>1800</v>
      </c>
      <c r="H210" s="132">
        <f>Tablo25[[#This Row],[GÜN
TEK]]*Tablo25[[#This Row],[TUTAR]]</f>
        <v>0</v>
      </c>
      <c r="I210" s="132">
        <f>Tablo25[[#This Row],[TOPLAM]]*0.2</f>
        <v>0</v>
      </c>
      <c r="J210" s="132">
        <f>SUM(Tablo25[[#This Row],[TOPLAM]:[0,20%]])</f>
        <v>0</v>
      </c>
      <c r="K210" s="132">
        <f>Tablo25[[#This Row],[TOPLAM]]*0.1</f>
        <v>0</v>
      </c>
      <c r="L210" s="132">
        <f>Tablo25[[#This Row],[TOPLAM]]+Tablo25[[#This Row],[0,20%]]-Tablo25[[#This Row],[0,10%]]</f>
        <v>0</v>
      </c>
    </row>
    <row r="211" spans="1:12" x14ac:dyDescent="0.25">
      <c r="A211" s="130" t="s">
        <v>129</v>
      </c>
      <c r="B211" s="130" t="s">
        <v>432</v>
      </c>
      <c r="C211" s="130" t="s">
        <v>109</v>
      </c>
      <c r="D211" s="130" t="s">
        <v>433</v>
      </c>
      <c r="E211" s="130" t="s">
        <v>103</v>
      </c>
      <c r="F211" s="130">
        <v>21</v>
      </c>
      <c r="G211" s="131">
        <v>2800</v>
      </c>
      <c r="H211" s="132">
        <f>Tablo25[[#This Row],[GÜN
TEK]]*Tablo25[[#This Row],[TUTAR]]</f>
        <v>58800</v>
      </c>
      <c r="I211" s="132">
        <f>Tablo25[[#This Row],[TOPLAM]]*0.2</f>
        <v>11760</v>
      </c>
      <c r="J211" s="132">
        <f>SUM(Tablo25[[#This Row],[TOPLAM]:[0,20%]])</f>
        <v>70560</v>
      </c>
      <c r="K211" s="132">
        <f>Tablo25[[#This Row],[TOPLAM]]*0.1</f>
        <v>5880</v>
      </c>
      <c r="L211" s="132">
        <f>Tablo25[[#This Row],[TOPLAM]]+Tablo25[[#This Row],[0,20%]]-Tablo25[[#This Row],[0,10%]]</f>
        <v>64680</v>
      </c>
    </row>
    <row r="212" spans="1:12" x14ac:dyDescent="0.25">
      <c r="A212" s="130" t="s">
        <v>129</v>
      </c>
      <c r="B212" s="130" t="s">
        <v>434</v>
      </c>
      <c r="C212" s="130" t="s">
        <v>109</v>
      </c>
      <c r="D212" s="130" t="s">
        <v>433</v>
      </c>
      <c r="E212" s="130" t="s">
        <v>103</v>
      </c>
      <c r="F212" s="130">
        <v>22</v>
      </c>
      <c r="G212" s="131">
        <v>2800</v>
      </c>
      <c r="H212" s="132">
        <f>Tablo25[[#This Row],[GÜN
TEK]]*Tablo25[[#This Row],[TUTAR]]</f>
        <v>61600</v>
      </c>
      <c r="I212" s="132">
        <f>Tablo25[[#This Row],[TOPLAM]]*0.2</f>
        <v>12320</v>
      </c>
      <c r="J212" s="132">
        <f>SUM(Tablo25[[#This Row],[TOPLAM]:[0,20%]])</f>
        <v>73920</v>
      </c>
      <c r="K212" s="132">
        <f>Tablo25[[#This Row],[TOPLAM]]*0.1</f>
        <v>6160</v>
      </c>
      <c r="L212" s="132">
        <f>Tablo25[[#This Row],[TOPLAM]]+Tablo25[[#This Row],[0,20%]]-Tablo25[[#This Row],[0,10%]]</f>
        <v>67760</v>
      </c>
    </row>
    <row r="213" spans="1:12" x14ac:dyDescent="0.25">
      <c r="A213" s="130" t="s">
        <v>129</v>
      </c>
      <c r="B213" s="130" t="s">
        <v>437</v>
      </c>
      <c r="C213" s="130" t="s">
        <v>323</v>
      </c>
      <c r="D213" s="130" t="s">
        <v>433</v>
      </c>
      <c r="E213" s="130" t="s">
        <v>103</v>
      </c>
      <c r="F213" s="130">
        <v>18</v>
      </c>
      <c r="G213" s="131">
        <v>2800</v>
      </c>
      <c r="H213" s="132">
        <f>Tablo25[[#This Row],[GÜN
TEK]]*Tablo25[[#This Row],[TUTAR]]</f>
        <v>50400</v>
      </c>
      <c r="I213" s="132">
        <f>Tablo25[[#This Row],[TOPLAM]]*0.2</f>
        <v>10080</v>
      </c>
      <c r="J213" s="132">
        <f>SUM(Tablo25[[#This Row],[TOPLAM]:[0,20%]])</f>
        <v>60480</v>
      </c>
      <c r="K213" s="132">
        <f>Tablo25[[#This Row],[TOPLAM]]*0.1</f>
        <v>5040</v>
      </c>
      <c r="L213" s="132">
        <f>Tablo25[[#This Row],[TOPLAM]]+Tablo25[[#This Row],[0,20%]]-Tablo25[[#This Row],[0,10%]]</f>
        <v>55440</v>
      </c>
    </row>
    <row r="214" spans="1:12" x14ac:dyDescent="0.25">
      <c r="A214" s="130" t="s">
        <v>129</v>
      </c>
      <c r="B214" s="130" t="s">
        <v>384</v>
      </c>
      <c r="C214" s="130" t="s">
        <v>109</v>
      </c>
      <c r="D214" s="130" t="s">
        <v>435</v>
      </c>
      <c r="E214" s="130" t="s">
        <v>47</v>
      </c>
      <c r="F214" s="130">
        <v>18</v>
      </c>
      <c r="G214" s="131">
        <v>900</v>
      </c>
      <c r="H214" s="132">
        <f>Tablo25[[#This Row],[GÜN
TEK]]*Tablo25[[#This Row],[TUTAR]]</f>
        <v>16200</v>
      </c>
      <c r="I214" s="132">
        <f>Tablo25[[#This Row],[TOPLAM]]*0.2</f>
        <v>3240</v>
      </c>
      <c r="J214" s="132">
        <f>SUM(Tablo25[[#This Row],[TOPLAM]:[0,20%]])</f>
        <v>19440</v>
      </c>
      <c r="K214" s="132">
        <f>Tablo25[[#This Row],[TOPLAM]]*0.1</f>
        <v>1620</v>
      </c>
      <c r="L214" s="132">
        <f>Tablo25[[#This Row],[TOPLAM]]+Tablo25[[#This Row],[0,20%]]-Tablo25[[#This Row],[0,10%]]</f>
        <v>17820</v>
      </c>
    </row>
    <row r="215" spans="1:12" x14ac:dyDescent="0.25">
      <c r="A215" s="130" t="s">
        <v>129</v>
      </c>
      <c r="B215" s="130" t="s">
        <v>384</v>
      </c>
      <c r="C215" s="130" t="s">
        <v>109</v>
      </c>
      <c r="D215" s="130" t="s">
        <v>140</v>
      </c>
      <c r="E215" s="130" t="s">
        <v>140</v>
      </c>
      <c r="F215" s="130">
        <v>3</v>
      </c>
      <c r="G215" s="131">
        <v>1000</v>
      </c>
      <c r="H215" s="132">
        <f>Tablo25[[#This Row],[GÜN
TEK]]*Tablo25[[#This Row],[TUTAR]]</f>
        <v>3000</v>
      </c>
      <c r="I215" s="132">
        <f>Tablo25[[#This Row],[TOPLAM]]*0.2</f>
        <v>600</v>
      </c>
      <c r="J215" s="132">
        <f>SUM(Tablo25[[#This Row],[TOPLAM]:[0,20%]])</f>
        <v>3600</v>
      </c>
      <c r="K215" s="132">
        <f>Tablo25[[#This Row],[TOPLAM]]*0.1</f>
        <v>300</v>
      </c>
      <c r="L215" s="132">
        <f>Tablo25[[#This Row],[TOPLAM]]+Tablo25[[#This Row],[0,20%]]-Tablo25[[#This Row],[0,10%]]</f>
        <v>3300</v>
      </c>
    </row>
    <row r="216" spans="1:12" x14ac:dyDescent="0.25">
      <c r="A216" s="130" t="s">
        <v>129</v>
      </c>
      <c r="B216" s="130" t="s">
        <v>384</v>
      </c>
      <c r="C216" s="130" t="s">
        <v>136</v>
      </c>
      <c r="D216" s="130" t="s">
        <v>278</v>
      </c>
      <c r="E216" s="130" t="s">
        <v>47</v>
      </c>
      <c r="F216" s="130">
        <v>18</v>
      </c>
      <c r="G216" s="131">
        <v>900</v>
      </c>
      <c r="H216" s="132">
        <f>Tablo25[[#This Row],[GÜN
TEK]]*Tablo25[[#This Row],[TUTAR]]</f>
        <v>16200</v>
      </c>
      <c r="I216" s="132">
        <f>Tablo25[[#This Row],[TOPLAM]]*0.2</f>
        <v>3240</v>
      </c>
      <c r="J216" s="132">
        <f>SUM(Tablo25[[#This Row],[TOPLAM]:[0,20%]])</f>
        <v>19440</v>
      </c>
      <c r="K216" s="132">
        <f>Tablo25[[#This Row],[TOPLAM]]*0.1</f>
        <v>1620</v>
      </c>
      <c r="L216" s="132">
        <f>Tablo25[[#This Row],[TOPLAM]]+Tablo25[[#This Row],[0,20%]]-Tablo25[[#This Row],[0,10%]]</f>
        <v>17820</v>
      </c>
    </row>
    <row r="217" spans="1:12" x14ac:dyDescent="0.25">
      <c r="A217" s="130" t="s">
        <v>129</v>
      </c>
      <c r="B217" s="130" t="s">
        <v>296</v>
      </c>
      <c r="C217" s="130" t="s">
        <v>168</v>
      </c>
      <c r="E217" s="130" t="s">
        <v>103</v>
      </c>
      <c r="F217" s="130">
        <v>25</v>
      </c>
      <c r="G217" s="131">
        <v>1800</v>
      </c>
      <c r="H217" s="132">
        <f>Tablo25[[#This Row],[GÜN
TEK]]*Tablo25[[#This Row],[TUTAR]]</f>
        <v>45000</v>
      </c>
      <c r="I217" s="132">
        <f>Tablo25[[#This Row],[TOPLAM]]*0.2</f>
        <v>9000</v>
      </c>
      <c r="J217" s="132">
        <f>SUM(Tablo25[[#This Row],[TOPLAM]:[0,20%]])</f>
        <v>54000</v>
      </c>
      <c r="K217" s="132">
        <f>Tablo25[[#This Row],[TOPLAM]]*0.1</f>
        <v>4500</v>
      </c>
      <c r="L217" s="132">
        <f>Tablo25[[#This Row],[TOPLAM]]+Tablo25[[#This Row],[0,20%]]-Tablo25[[#This Row],[0,10%]]</f>
        <v>49500</v>
      </c>
    </row>
    <row r="218" spans="1:12" x14ac:dyDescent="0.25">
      <c r="A218" s="130" t="s">
        <v>129</v>
      </c>
      <c r="B218" s="130" t="s">
        <v>436</v>
      </c>
      <c r="C218" s="130" t="s">
        <v>507</v>
      </c>
      <c r="E218" s="130" t="s">
        <v>103</v>
      </c>
      <c r="F218" s="130">
        <v>25</v>
      </c>
      <c r="G218" s="131">
        <v>1800</v>
      </c>
      <c r="H218" s="132">
        <f>Tablo25[[#This Row],[GÜN
TEK]]*Tablo25[[#This Row],[TUTAR]]</f>
        <v>45000</v>
      </c>
      <c r="I218" s="132">
        <f>Tablo25[[#This Row],[TOPLAM]]*0.2</f>
        <v>9000</v>
      </c>
      <c r="J218" s="132">
        <f>SUM(Tablo25[[#This Row],[TOPLAM]:[0,20%]])</f>
        <v>54000</v>
      </c>
      <c r="K218" s="132">
        <f>Tablo25[[#This Row],[TOPLAM]]*0.1</f>
        <v>4500</v>
      </c>
      <c r="L218" s="132">
        <f>Tablo25[[#This Row],[TOPLAM]]+Tablo25[[#This Row],[0,20%]]-Tablo25[[#This Row],[0,10%]]</f>
        <v>49500</v>
      </c>
    </row>
    <row r="219" spans="1:12" x14ac:dyDescent="0.25">
      <c r="A219" s="130" t="s">
        <v>129</v>
      </c>
      <c r="B219" s="130" t="s">
        <v>436</v>
      </c>
      <c r="C219" s="130" t="s">
        <v>507</v>
      </c>
      <c r="E219" s="130" t="s">
        <v>10</v>
      </c>
      <c r="F219" s="130">
        <v>8</v>
      </c>
      <c r="G219" s="131">
        <v>1160</v>
      </c>
      <c r="H219" s="132">
        <f>Tablo25[[#This Row],[GÜN
TEK]]*Tablo25[[#This Row],[TUTAR]]</f>
        <v>9280</v>
      </c>
      <c r="I219" s="132">
        <f>Tablo25[[#This Row],[TOPLAM]]*0.2</f>
        <v>1856</v>
      </c>
      <c r="J219" s="132">
        <f>SUM(Tablo25[[#This Row],[TOPLAM]:[0,20%]])</f>
        <v>11136</v>
      </c>
      <c r="K219" s="132">
        <f>Tablo25[[#This Row],[TOPLAM]]*0.1</f>
        <v>928</v>
      </c>
      <c r="L219" s="132">
        <f>Tablo25[[#This Row],[TOPLAM]]+Tablo25[[#This Row],[0,20%]]-Tablo25[[#This Row],[0,10%]]</f>
        <v>10208</v>
      </c>
    </row>
    <row r="220" spans="1:12" x14ac:dyDescent="0.25">
      <c r="A220" s="130" t="s">
        <v>129</v>
      </c>
      <c r="B220" s="130" t="s">
        <v>436</v>
      </c>
      <c r="C220" s="130" t="s">
        <v>507</v>
      </c>
      <c r="E220" s="130" t="s">
        <v>431</v>
      </c>
      <c r="F220" s="130">
        <v>39</v>
      </c>
      <c r="G220" s="131">
        <v>1160</v>
      </c>
      <c r="H220" s="132">
        <f>Tablo25[[#This Row],[GÜN
TEK]]*Tablo25[[#This Row],[TUTAR]]</f>
        <v>45240</v>
      </c>
      <c r="I220" s="132">
        <f>Tablo25[[#This Row],[TOPLAM]]*0.2</f>
        <v>9048</v>
      </c>
      <c r="J220" s="132">
        <f>SUM(Tablo25[[#This Row],[TOPLAM]:[0,20%]])</f>
        <v>54288</v>
      </c>
      <c r="K220" s="132">
        <f>Tablo25[[#This Row],[TOPLAM]]*0.1</f>
        <v>4524</v>
      </c>
      <c r="L220" s="132">
        <f>Tablo25[[#This Row],[TOPLAM]]+Tablo25[[#This Row],[0,20%]]-Tablo25[[#This Row],[0,10%]]</f>
        <v>49764</v>
      </c>
    </row>
    <row r="221" spans="1:12" x14ac:dyDescent="0.25">
      <c r="A221" s="130" t="s">
        <v>129</v>
      </c>
      <c r="B221" s="130" t="s">
        <v>436</v>
      </c>
      <c r="C221" s="130" t="s">
        <v>507</v>
      </c>
      <c r="E221" s="130" t="s">
        <v>140</v>
      </c>
      <c r="F221" s="130">
        <v>3</v>
      </c>
      <c r="G221" s="131">
        <v>900</v>
      </c>
      <c r="H221" s="132">
        <f>Tablo25[[#This Row],[GÜN
TEK]]*Tablo25[[#This Row],[TUTAR]]</f>
        <v>2700</v>
      </c>
      <c r="I221" s="132">
        <f>Tablo25[[#This Row],[TOPLAM]]*0.2</f>
        <v>540</v>
      </c>
      <c r="J221" s="132">
        <f>SUM(Tablo25[[#This Row],[TOPLAM]:[0,20%]])</f>
        <v>3240</v>
      </c>
      <c r="K221" s="132">
        <f>Tablo25[[#This Row],[TOPLAM]]*0.1</f>
        <v>270</v>
      </c>
      <c r="L221" s="132">
        <f>Tablo25[[#This Row],[TOPLAM]]+Tablo25[[#This Row],[0,20%]]-Tablo25[[#This Row],[0,10%]]</f>
        <v>2970</v>
      </c>
    </row>
    <row r="222" spans="1:12" ht="14.4" thickBot="1" x14ac:dyDescent="0.3">
      <c r="A222" s="130" t="s">
        <v>129</v>
      </c>
      <c r="B222" s="130" t="s">
        <v>576</v>
      </c>
      <c r="C222" s="130" t="s">
        <v>86</v>
      </c>
      <c r="E222" s="130" t="s">
        <v>103</v>
      </c>
      <c r="F222" s="130">
        <v>18</v>
      </c>
      <c r="G222" s="131">
        <v>1800</v>
      </c>
      <c r="H222" s="132">
        <f>Tablo25[[#This Row],[GÜN
TEK]]*Tablo25[[#This Row],[TUTAR]]</f>
        <v>32400</v>
      </c>
      <c r="I222" s="132">
        <f>Tablo25[[#This Row],[TOPLAM]]*0.2</f>
        <v>6480</v>
      </c>
      <c r="J222" s="132">
        <f>SUM(Tablo25[[#This Row],[TOPLAM]:[0,20%]])</f>
        <v>38880</v>
      </c>
      <c r="K222" s="132">
        <f>Tablo25[[#This Row],[TOPLAM]]*0.1</f>
        <v>3240</v>
      </c>
      <c r="L222" s="132">
        <f>Tablo25[[#This Row],[TOPLAM]]+Tablo25[[#This Row],[0,20%]]-Tablo25[[#This Row],[0,10%]]</f>
        <v>35640</v>
      </c>
    </row>
    <row r="223" spans="1:12" ht="15" thickTop="1" thickBot="1" x14ac:dyDescent="0.3">
      <c r="H223" s="133">
        <f>SUBTOTAL(109,H207:H222)</f>
        <v>560720</v>
      </c>
      <c r="I223" s="133">
        <f t="shared" ref="I223:L223" si="8">SUBTOTAL(109,I207:I222)</f>
        <v>112144</v>
      </c>
      <c r="J223" s="133">
        <f t="shared" si="8"/>
        <v>672864</v>
      </c>
      <c r="K223" s="133">
        <f t="shared" si="8"/>
        <v>56072</v>
      </c>
      <c r="L223" s="133">
        <f t="shared" si="8"/>
        <v>616792</v>
      </c>
    </row>
    <row r="224" spans="1:12" ht="14.4" thickTop="1" x14ac:dyDescent="0.25"/>
    <row r="225" spans="1:12" s="138" customFormat="1" ht="34.950000000000003" customHeight="1" thickBot="1" x14ac:dyDescent="0.35">
      <c r="A225" s="135" t="s">
        <v>202</v>
      </c>
      <c r="B225" s="135" t="s">
        <v>327</v>
      </c>
      <c r="C225" s="135" t="s">
        <v>0</v>
      </c>
      <c r="D225" s="135" t="s">
        <v>1</v>
      </c>
      <c r="E225" s="135" t="s">
        <v>326</v>
      </c>
      <c r="F225" s="136" t="s">
        <v>328</v>
      </c>
      <c r="G225" s="137" t="s">
        <v>2</v>
      </c>
      <c r="H225" s="137" t="s">
        <v>3</v>
      </c>
      <c r="I225" s="137" t="s">
        <v>229</v>
      </c>
      <c r="J225" s="137" t="s">
        <v>4</v>
      </c>
      <c r="K225" s="137" t="s">
        <v>228</v>
      </c>
      <c r="L225" s="137" t="s">
        <v>5</v>
      </c>
    </row>
    <row r="226" spans="1:12" x14ac:dyDescent="0.25">
      <c r="A226" s="130" t="s">
        <v>135</v>
      </c>
      <c r="B226" s="130" t="s">
        <v>438</v>
      </c>
      <c r="C226" s="130" t="s">
        <v>136</v>
      </c>
      <c r="D226" s="130" t="s">
        <v>87</v>
      </c>
      <c r="E226" s="130" t="s">
        <v>28</v>
      </c>
      <c r="F226" s="130">
        <v>150</v>
      </c>
      <c r="G226" s="131">
        <v>550</v>
      </c>
      <c r="H226" s="132">
        <f>Tablo28[[#This Row],[GÜN
TEK]]*Tablo28[[#This Row],[TUTAR]]</f>
        <v>82500</v>
      </c>
      <c r="I226" s="132">
        <f>Tablo28[[#This Row],[TOPLAM]]*0.2</f>
        <v>16500</v>
      </c>
      <c r="J226" s="132">
        <f>SUM(Tablo28[[#This Row],[TOPLAM]:[0,20%]])</f>
        <v>99000</v>
      </c>
      <c r="K226" s="132">
        <f>Tablo28[[#This Row],[TOPLAM]]*0.1</f>
        <v>8250</v>
      </c>
      <c r="L226" s="132">
        <f>Tablo28[[#This Row],[TOPLAM]]+Tablo28[[#This Row],[0,20%]]-Tablo28[[#This Row],[0,10%]]</f>
        <v>90750</v>
      </c>
    </row>
    <row r="227" spans="1:12" x14ac:dyDescent="0.25">
      <c r="A227" s="130" t="s">
        <v>135</v>
      </c>
      <c r="B227" s="130" t="s">
        <v>438</v>
      </c>
      <c r="C227" s="130" t="s">
        <v>136</v>
      </c>
      <c r="D227" s="130" t="s">
        <v>87</v>
      </c>
      <c r="E227" s="130" t="s">
        <v>140</v>
      </c>
      <c r="F227" s="130">
        <v>3</v>
      </c>
      <c r="G227" s="131">
        <v>900</v>
      </c>
      <c r="H227" s="132">
        <f>Tablo28[[#This Row],[GÜN
TEK]]*Tablo28[[#This Row],[TUTAR]]</f>
        <v>2700</v>
      </c>
      <c r="I227" s="132">
        <f>Tablo28[[#This Row],[TOPLAM]]*0.2</f>
        <v>540</v>
      </c>
      <c r="J227" s="132">
        <f>SUM(Tablo28[[#This Row],[TOPLAM]:[0,20%]])</f>
        <v>3240</v>
      </c>
      <c r="K227" s="132">
        <f>Tablo28[[#This Row],[TOPLAM]]*0.1</f>
        <v>270</v>
      </c>
      <c r="L227" s="132">
        <f>Tablo28[[#This Row],[TOPLAM]]+Tablo28[[#This Row],[0,20%]]-Tablo28[[#This Row],[0,10%]]</f>
        <v>2970</v>
      </c>
    </row>
    <row r="228" spans="1:12" x14ac:dyDescent="0.25">
      <c r="A228" s="130" t="s">
        <v>135</v>
      </c>
      <c r="B228" s="130" t="s">
        <v>438</v>
      </c>
      <c r="C228" s="130" t="s">
        <v>136</v>
      </c>
      <c r="D228" s="130" t="s">
        <v>87</v>
      </c>
      <c r="E228" s="130" t="s">
        <v>47</v>
      </c>
      <c r="G228" s="131">
        <v>900</v>
      </c>
      <c r="H228" s="132">
        <f>Tablo28[[#This Row],[GÜN
TEK]]*Tablo28[[#This Row],[TUTAR]]</f>
        <v>0</v>
      </c>
      <c r="I228" s="132">
        <f>Tablo28[[#This Row],[TOPLAM]]*0.2</f>
        <v>0</v>
      </c>
      <c r="J228" s="132">
        <f>SUM(Tablo28[[#This Row],[TOPLAM]:[0,20%]])</f>
        <v>0</v>
      </c>
      <c r="K228" s="132">
        <f>Tablo28[[#This Row],[TOPLAM]]*0.1</f>
        <v>0</v>
      </c>
      <c r="L228" s="132">
        <f>Tablo28[[#This Row],[TOPLAM]]+Tablo28[[#This Row],[0,20%]]-Tablo28[[#This Row],[0,10%]]</f>
        <v>0</v>
      </c>
    </row>
    <row r="229" spans="1:12" x14ac:dyDescent="0.25">
      <c r="A229" s="130" t="s">
        <v>135</v>
      </c>
      <c r="B229" s="130" t="s">
        <v>438</v>
      </c>
      <c r="C229" s="130" t="s">
        <v>136</v>
      </c>
      <c r="D229" s="130" t="s">
        <v>87</v>
      </c>
      <c r="E229" s="130" t="s">
        <v>10</v>
      </c>
      <c r="G229" s="131">
        <v>1160</v>
      </c>
      <c r="H229" s="132">
        <f>Tablo28[[#This Row],[GÜN
TEK]]*Tablo28[[#This Row],[TUTAR]]</f>
        <v>0</v>
      </c>
      <c r="I229" s="132">
        <f>Tablo28[[#This Row],[TOPLAM]]*0.2</f>
        <v>0</v>
      </c>
      <c r="J229" s="132">
        <f>SUM(Tablo28[[#This Row],[TOPLAM]:[0,20%]])</f>
        <v>0</v>
      </c>
      <c r="K229" s="132">
        <f>Tablo28[[#This Row],[TOPLAM]]*0.1</f>
        <v>0</v>
      </c>
      <c r="L229" s="132">
        <f>Tablo28[[#This Row],[TOPLAM]]+Tablo28[[#This Row],[0,20%]]-Tablo28[[#This Row],[0,10%]]</f>
        <v>0</v>
      </c>
    </row>
    <row r="230" spans="1:12" x14ac:dyDescent="0.25">
      <c r="A230" s="130" t="s">
        <v>135</v>
      </c>
      <c r="B230" s="130" t="s">
        <v>439</v>
      </c>
      <c r="C230" s="130" t="s">
        <v>136</v>
      </c>
      <c r="D230" s="130" t="s">
        <v>142</v>
      </c>
      <c r="E230" s="130" t="s">
        <v>28</v>
      </c>
      <c r="F230" s="130">
        <v>109</v>
      </c>
      <c r="G230" s="131">
        <v>550</v>
      </c>
      <c r="H230" s="132">
        <f>Tablo28[[#This Row],[GÜN
TEK]]*Tablo28[[#This Row],[TUTAR]]</f>
        <v>59950</v>
      </c>
      <c r="I230" s="132">
        <f>Tablo28[[#This Row],[TOPLAM]]*0.2</f>
        <v>11990</v>
      </c>
      <c r="J230" s="132">
        <f>SUM(Tablo28[[#This Row],[TOPLAM]:[0,20%]])</f>
        <v>71940</v>
      </c>
      <c r="K230" s="132">
        <f>Tablo28[[#This Row],[TOPLAM]]*0.1</f>
        <v>5995</v>
      </c>
      <c r="L230" s="132">
        <f>Tablo28[[#This Row],[TOPLAM]]+Tablo28[[#This Row],[0,20%]]-Tablo28[[#This Row],[0,10%]]</f>
        <v>65945</v>
      </c>
    </row>
    <row r="231" spans="1:12" x14ac:dyDescent="0.25">
      <c r="A231" s="130" t="s">
        <v>135</v>
      </c>
      <c r="B231" s="130" t="s">
        <v>439</v>
      </c>
      <c r="C231" s="130" t="s">
        <v>136</v>
      </c>
      <c r="D231" s="130" t="s">
        <v>142</v>
      </c>
      <c r="E231" s="130" t="s">
        <v>441</v>
      </c>
      <c r="F231" s="130">
        <v>6</v>
      </c>
      <c r="G231" s="131">
        <v>900</v>
      </c>
      <c r="H231" s="132">
        <f>Tablo28[[#This Row],[GÜN
TEK]]*Tablo28[[#This Row],[TUTAR]]</f>
        <v>5400</v>
      </c>
      <c r="I231" s="132">
        <f>Tablo28[[#This Row],[TOPLAM]]*0.2</f>
        <v>1080</v>
      </c>
      <c r="J231" s="132">
        <f>SUM(Tablo28[[#This Row],[TOPLAM]:[0,20%]])</f>
        <v>6480</v>
      </c>
      <c r="K231" s="132">
        <f>Tablo28[[#This Row],[TOPLAM]]*0.1</f>
        <v>540</v>
      </c>
      <c r="L231" s="132">
        <f>Tablo28[[#This Row],[TOPLAM]]+Tablo28[[#This Row],[0,20%]]-Tablo28[[#This Row],[0,10%]]</f>
        <v>5940</v>
      </c>
    </row>
    <row r="232" spans="1:12" x14ac:dyDescent="0.25">
      <c r="A232" s="130" t="s">
        <v>135</v>
      </c>
      <c r="B232" s="130" t="s">
        <v>439</v>
      </c>
      <c r="C232" s="130" t="s">
        <v>136</v>
      </c>
      <c r="D232" s="130" t="s">
        <v>142</v>
      </c>
      <c r="E232" s="130" t="s">
        <v>10</v>
      </c>
      <c r="F232" s="130">
        <v>1</v>
      </c>
      <c r="G232" s="131">
        <v>1160</v>
      </c>
      <c r="H232" s="132">
        <f>Tablo28[[#This Row],[GÜN
TEK]]*Tablo28[[#This Row],[TUTAR]]</f>
        <v>1160</v>
      </c>
      <c r="I232" s="132">
        <f>Tablo28[[#This Row],[TOPLAM]]*0.2</f>
        <v>232</v>
      </c>
      <c r="J232" s="132">
        <f>SUM(Tablo28[[#This Row],[TOPLAM]:[0,20%]])</f>
        <v>1392</v>
      </c>
      <c r="K232" s="132">
        <f>Tablo28[[#This Row],[TOPLAM]]*0.1</f>
        <v>116</v>
      </c>
      <c r="L232" s="132">
        <f>Tablo28[[#This Row],[TOPLAM]]+Tablo28[[#This Row],[0,20%]]-Tablo28[[#This Row],[0,10%]]</f>
        <v>1276</v>
      </c>
    </row>
    <row r="233" spans="1:12" x14ac:dyDescent="0.25">
      <c r="A233" s="130" t="s">
        <v>135</v>
      </c>
      <c r="B233" s="130" t="s">
        <v>440</v>
      </c>
      <c r="C233" s="130" t="s">
        <v>138</v>
      </c>
      <c r="D233" s="130" t="s">
        <v>139</v>
      </c>
      <c r="E233" s="130" t="s">
        <v>441</v>
      </c>
      <c r="F233" s="130">
        <v>20</v>
      </c>
      <c r="G233" s="131">
        <v>900</v>
      </c>
      <c r="H233" s="132">
        <f>Tablo28[[#This Row],[GÜN
TEK]]*Tablo28[[#This Row],[TUTAR]]</f>
        <v>18000</v>
      </c>
      <c r="I233" s="132">
        <f>Tablo28[[#This Row],[TOPLAM]]*0.2</f>
        <v>3600</v>
      </c>
      <c r="J233" s="132">
        <f>SUM(Tablo28[[#This Row],[TOPLAM]:[0,20%]])</f>
        <v>21600</v>
      </c>
      <c r="K233" s="132">
        <f>Tablo28[[#This Row],[TOPLAM]]*0.1</f>
        <v>1800</v>
      </c>
      <c r="L233" s="132">
        <f>Tablo28[[#This Row],[TOPLAM]]+Tablo28[[#This Row],[0,20%]]-Tablo28[[#This Row],[0,10%]]</f>
        <v>19800</v>
      </c>
    </row>
    <row r="234" spans="1:12" x14ac:dyDescent="0.25">
      <c r="A234" s="130" t="s">
        <v>135</v>
      </c>
      <c r="B234" s="130" t="s">
        <v>440</v>
      </c>
      <c r="C234" s="130" t="s">
        <v>138</v>
      </c>
      <c r="D234" s="130" t="s">
        <v>139</v>
      </c>
      <c r="E234" s="130" t="s">
        <v>570</v>
      </c>
      <c r="G234" s="131">
        <v>1400</v>
      </c>
      <c r="H234" s="132">
        <f>Tablo28[[#This Row],[GÜN
TEK]]*Tablo28[[#This Row],[TUTAR]]</f>
        <v>0</v>
      </c>
      <c r="I234" s="132">
        <f>Tablo28[[#This Row],[TOPLAM]]*0.2</f>
        <v>0</v>
      </c>
      <c r="J234" s="132">
        <f>SUM(Tablo28[[#This Row],[TOPLAM]:[0,20%]])</f>
        <v>0</v>
      </c>
      <c r="K234" s="132">
        <f>Tablo28[[#This Row],[TOPLAM]]*0.1</f>
        <v>0</v>
      </c>
      <c r="L234" s="132">
        <f>Tablo28[[#This Row],[TOPLAM]]+Tablo28[[#This Row],[0,20%]]-Tablo28[[#This Row],[0,10%]]</f>
        <v>0</v>
      </c>
    </row>
    <row r="235" spans="1:12" x14ac:dyDescent="0.25">
      <c r="A235" s="130" t="s">
        <v>135</v>
      </c>
      <c r="B235" s="130" t="s">
        <v>440</v>
      </c>
      <c r="C235" s="130" t="s">
        <v>138</v>
      </c>
      <c r="D235" s="130" t="s">
        <v>139</v>
      </c>
      <c r="E235" s="130" t="s">
        <v>140</v>
      </c>
      <c r="F235" s="130">
        <v>3</v>
      </c>
      <c r="G235" s="131">
        <v>900</v>
      </c>
      <c r="H235" s="132">
        <f>Tablo28[[#This Row],[GÜN
TEK]]*Tablo28[[#This Row],[TUTAR]]</f>
        <v>2700</v>
      </c>
      <c r="I235" s="132">
        <f>Tablo28[[#This Row],[TOPLAM]]*0.2</f>
        <v>540</v>
      </c>
      <c r="J235" s="132">
        <f>SUM(Tablo28[[#This Row],[TOPLAM]:[0,20%]])</f>
        <v>3240</v>
      </c>
      <c r="K235" s="132">
        <f>Tablo28[[#This Row],[TOPLAM]]*0.1</f>
        <v>270</v>
      </c>
      <c r="L235" s="132">
        <f>Tablo28[[#This Row],[TOPLAM]]+Tablo28[[#This Row],[0,20%]]-Tablo28[[#This Row],[0,10%]]</f>
        <v>2970</v>
      </c>
    </row>
    <row r="236" spans="1:12" x14ac:dyDescent="0.25">
      <c r="A236" s="130" t="s">
        <v>135</v>
      </c>
      <c r="B236" s="130" t="s">
        <v>440</v>
      </c>
      <c r="C236" s="130" t="s">
        <v>288</v>
      </c>
      <c r="D236" s="130" t="s">
        <v>141</v>
      </c>
      <c r="E236" s="130" t="s">
        <v>441</v>
      </c>
      <c r="F236" s="130">
        <v>10</v>
      </c>
      <c r="G236" s="131">
        <v>900</v>
      </c>
      <c r="H236" s="132">
        <f>Tablo28[[#This Row],[GÜN
TEK]]*Tablo28[[#This Row],[TUTAR]]</f>
        <v>9000</v>
      </c>
      <c r="I236" s="132">
        <f>Tablo28[[#This Row],[TOPLAM]]*0.2</f>
        <v>1800</v>
      </c>
      <c r="J236" s="132">
        <f>SUM(Tablo28[[#This Row],[TOPLAM]:[0,20%]])</f>
        <v>10800</v>
      </c>
      <c r="K236" s="132">
        <f>Tablo28[[#This Row],[TOPLAM]]*0.1</f>
        <v>900</v>
      </c>
      <c r="L236" s="132">
        <f>Tablo28[[#This Row],[TOPLAM]]+Tablo28[[#This Row],[0,20%]]-Tablo28[[#This Row],[0,10%]]</f>
        <v>9900</v>
      </c>
    </row>
    <row r="237" spans="1:12" x14ac:dyDescent="0.25">
      <c r="A237" s="130" t="s">
        <v>135</v>
      </c>
      <c r="B237" s="130" t="s">
        <v>598</v>
      </c>
      <c r="C237" s="130" t="s">
        <v>114</v>
      </c>
      <c r="E237" s="130" t="s">
        <v>28</v>
      </c>
      <c r="F237" s="130">
        <v>1</v>
      </c>
      <c r="G237" s="131">
        <v>1500</v>
      </c>
      <c r="H237" s="132">
        <f>Tablo28[[#This Row],[GÜN
TEK]]*Tablo28[[#This Row],[TUTAR]]</f>
        <v>1500</v>
      </c>
      <c r="I237" s="132">
        <f>Tablo28[[#This Row],[TOPLAM]]*0.2</f>
        <v>300</v>
      </c>
      <c r="J237" s="132">
        <f>SUM(Tablo28[[#This Row],[TOPLAM]:[0,20%]])</f>
        <v>1800</v>
      </c>
      <c r="K237" s="132">
        <f>Tablo28[[#This Row],[TOPLAM]]*0.1</f>
        <v>150</v>
      </c>
      <c r="L237" s="132">
        <f>Tablo28[[#This Row],[TOPLAM]]+Tablo28[[#This Row],[0,20%]]-Tablo28[[#This Row],[0,10%]]</f>
        <v>1650</v>
      </c>
    </row>
    <row r="238" spans="1:12" x14ac:dyDescent="0.25">
      <c r="A238" s="130" t="s">
        <v>135</v>
      </c>
      <c r="B238" s="130" t="s">
        <v>442</v>
      </c>
      <c r="C238" s="130" t="s">
        <v>86</v>
      </c>
      <c r="E238" s="130" t="s">
        <v>441</v>
      </c>
      <c r="F238" s="130">
        <v>30</v>
      </c>
      <c r="G238" s="131">
        <v>900</v>
      </c>
      <c r="H238" s="132">
        <f>Tablo28[[#This Row],[GÜN
TEK]]*Tablo28[[#This Row],[TUTAR]]</f>
        <v>27000</v>
      </c>
      <c r="I238" s="132">
        <f>Tablo28[[#This Row],[TOPLAM]]*0.2</f>
        <v>5400</v>
      </c>
      <c r="J238" s="132">
        <f>SUM(Tablo28[[#This Row],[TOPLAM]:[0,20%]])</f>
        <v>32400</v>
      </c>
      <c r="K238" s="132">
        <f>Tablo28[[#This Row],[TOPLAM]]*0.1</f>
        <v>2700</v>
      </c>
      <c r="L238" s="132">
        <f>Tablo28[[#This Row],[TOPLAM]]+Tablo28[[#This Row],[0,20%]]-Tablo28[[#This Row],[0,10%]]</f>
        <v>29700</v>
      </c>
    </row>
    <row r="239" spans="1:12" x14ac:dyDescent="0.25">
      <c r="A239" s="130" t="s">
        <v>135</v>
      </c>
      <c r="B239" s="130" t="s">
        <v>443</v>
      </c>
      <c r="C239" s="130" t="s">
        <v>288</v>
      </c>
      <c r="D239" s="130" t="s">
        <v>141</v>
      </c>
      <c r="E239" s="130" t="s">
        <v>28</v>
      </c>
      <c r="F239" s="130">
        <v>72</v>
      </c>
      <c r="G239" s="131">
        <v>550</v>
      </c>
      <c r="H239" s="132">
        <f>Tablo28[[#This Row],[GÜN
TEK]]*Tablo28[[#This Row],[TUTAR]]</f>
        <v>39600</v>
      </c>
      <c r="I239" s="132">
        <f>Tablo28[[#This Row],[TOPLAM]]*0.2</f>
        <v>7920</v>
      </c>
      <c r="J239" s="132">
        <f>SUM(Tablo28[[#This Row],[TOPLAM]:[0,20%]])</f>
        <v>47520</v>
      </c>
      <c r="K239" s="132">
        <f>Tablo28[[#This Row],[TOPLAM]]*0.1</f>
        <v>3960</v>
      </c>
      <c r="L239" s="132">
        <f>Tablo28[[#This Row],[TOPLAM]]+Tablo28[[#This Row],[0,20%]]-Tablo28[[#This Row],[0,10%]]</f>
        <v>43560</v>
      </c>
    </row>
    <row r="240" spans="1:12" x14ac:dyDescent="0.25">
      <c r="A240" s="130" t="s">
        <v>135</v>
      </c>
      <c r="B240" s="130" t="s">
        <v>443</v>
      </c>
      <c r="C240" s="130" t="s">
        <v>138</v>
      </c>
      <c r="D240" s="130" t="s">
        <v>139</v>
      </c>
      <c r="E240" s="130" t="s">
        <v>28</v>
      </c>
      <c r="F240" s="130">
        <v>37</v>
      </c>
      <c r="G240" s="131">
        <v>550</v>
      </c>
      <c r="H240" s="132">
        <f>Tablo28[[#This Row],[GÜN
TEK]]*Tablo28[[#This Row],[TUTAR]]</f>
        <v>20350</v>
      </c>
      <c r="I240" s="132">
        <f>Tablo28[[#This Row],[TOPLAM]]*0.2</f>
        <v>4070</v>
      </c>
      <c r="J240" s="132">
        <f>SUM(Tablo28[[#This Row],[TOPLAM]:[0,20%]])</f>
        <v>24420</v>
      </c>
      <c r="K240" s="132">
        <f>Tablo28[[#This Row],[TOPLAM]]*0.1</f>
        <v>2035</v>
      </c>
      <c r="L240" s="132">
        <f>Tablo28[[#This Row],[TOPLAM]]+Tablo28[[#This Row],[0,20%]]-Tablo28[[#This Row],[0,10%]]</f>
        <v>22385</v>
      </c>
    </row>
    <row r="241" spans="1:12" x14ac:dyDescent="0.25">
      <c r="A241" s="130" t="s">
        <v>135</v>
      </c>
      <c r="B241" s="130" t="s">
        <v>310</v>
      </c>
      <c r="C241" s="130" t="s">
        <v>444</v>
      </c>
      <c r="D241" s="130" t="s">
        <v>98</v>
      </c>
      <c r="E241" s="130" t="s">
        <v>441</v>
      </c>
      <c r="F241" s="130">
        <v>36</v>
      </c>
      <c r="G241" s="131">
        <v>900</v>
      </c>
      <c r="H241" s="132">
        <f>Tablo28[[#This Row],[GÜN
TEK]]*Tablo28[[#This Row],[TUTAR]]</f>
        <v>32400</v>
      </c>
      <c r="I241" s="132">
        <f>Tablo28[[#This Row],[TOPLAM]]*0.2</f>
        <v>6480</v>
      </c>
      <c r="J241" s="132">
        <f>SUM(Tablo28[[#This Row],[TOPLAM]:[0,20%]])</f>
        <v>38880</v>
      </c>
      <c r="K241" s="132">
        <f>Tablo28[[#This Row],[TOPLAM]]*0.1</f>
        <v>3240</v>
      </c>
      <c r="L241" s="132">
        <f>Tablo28[[#This Row],[TOPLAM]]+Tablo28[[#This Row],[0,20%]]-Tablo28[[#This Row],[0,10%]]</f>
        <v>35640</v>
      </c>
    </row>
    <row r="242" spans="1:12" x14ac:dyDescent="0.25">
      <c r="A242" s="130" t="s">
        <v>135</v>
      </c>
      <c r="B242" s="130" t="s">
        <v>310</v>
      </c>
      <c r="C242" s="130" t="s">
        <v>136</v>
      </c>
      <c r="D242" s="130" t="s">
        <v>98</v>
      </c>
      <c r="E242" s="130" t="s">
        <v>441</v>
      </c>
      <c r="G242" s="131">
        <v>900</v>
      </c>
      <c r="H242" s="132">
        <f>Tablo28[[#This Row],[GÜN
TEK]]*Tablo28[[#This Row],[TUTAR]]</f>
        <v>0</v>
      </c>
      <c r="I242" s="132">
        <f>Tablo28[[#This Row],[TOPLAM]]*0.2</f>
        <v>0</v>
      </c>
      <c r="J242" s="132">
        <f>SUM(Tablo28[[#This Row],[TOPLAM]:[0,20%]])</f>
        <v>0</v>
      </c>
      <c r="K242" s="132">
        <f>Tablo28[[#This Row],[TOPLAM]]*0.1</f>
        <v>0</v>
      </c>
      <c r="L242" s="132">
        <f>Tablo28[[#This Row],[TOPLAM]]+Tablo28[[#This Row],[0,20%]]-Tablo28[[#This Row],[0,10%]]</f>
        <v>0</v>
      </c>
    </row>
    <row r="243" spans="1:12" x14ac:dyDescent="0.25">
      <c r="A243" s="130" t="s">
        <v>135</v>
      </c>
      <c r="B243" s="130" t="s">
        <v>445</v>
      </c>
      <c r="C243" s="130" t="s">
        <v>446</v>
      </c>
      <c r="D243" s="130" t="s">
        <v>321</v>
      </c>
      <c r="E243" s="130" t="s">
        <v>441</v>
      </c>
      <c r="G243" s="131">
        <v>900</v>
      </c>
      <c r="H243" s="132">
        <f>Tablo28[[#This Row],[GÜN
TEK]]*Tablo28[[#This Row],[TUTAR]]</f>
        <v>0</v>
      </c>
      <c r="I243" s="132">
        <f>Tablo28[[#This Row],[TOPLAM]]*0.2</f>
        <v>0</v>
      </c>
      <c r="J243" s="132">
        <f>SUM(Tablo28[[#This Row],[TOPLAM]:[0,20%]])</f>
        <v>0</v>
      </c>
      <c r="K243" s="132">
        <f>Tablo28[[#This Row],[TOPLAM]]*0.1</f>
        <v>0</v>
      </c>
      <c r="L243" s="132">
        <f>Tablo28[[#This Row],[TOPLAM]]+Tablo28[[#This Row],[0,20%]]-Tablo28[[#This Row],[0,10%]]</f>
        <v>0</v>
      </c>
    </row>
    <row r="244" spans="1:12" x14ac:dyDescent="0.25">
      <c r="A244" s="130" t="s">
        <v>135</v>
      </c>
      <c r="B244" s="130" t="s">
        <v>20</v>
      </c>
      <c r="C244" s="130" t="s">
        <v>21</v>
      </c>
      <c r="D244" s="130" t="s">
        <v>125</v>
      </c>
      <c r="E244" s="130" t="s">
        <v>28</v>
      </c>
      <c r="F244" s="130">
        <v>98</v>
      </c>
      <c r="G244" s="131">
        <v>615</v>
      </c>
      <c r="H244" s="132">
        <f>Tablo28[[#This Row],[GÜN
TEK]]*Tablo28[[#This Row],[TUTAR]]</f>
        <v>60270</v>
      </c>
      <c r="I244" s="132">
        <f>Tablo28[[#This Row],[TOPLAM]]*0.2</f>
        <v>12054</v>
      </c>
      <c r="J244" s="132">
        <f>SUM(Tablo28[[#This Row],[TOPLAM]:[0,20%]])</f>
        <v>72324</v>
      </c>
      <c r="K244" s="132">
        <f>Tablo28[[#This Row],[TOPLAM]]*0.1</f>
        <v>6027</v>
      </c>
      <c r="L244" s="132">
        <f>Tablo28[[#This Row],[TOPLAM]]+Tablo28[[#This Row],[0,20%]]-Tablo28[[#This Row],[0,10%]]</f>
        <v>66297</v>
      </c>
    </row>
    <row r="245" spans="1:12" x14ac:dyDescent="0.25">
      <c r="A245" s="130" t="s">
        <v>135</v>
      </c>
      <c r="B245" s="130" t="s">
        <v>447</v>
      </c>
      <c r="C245" s="130" t="s">
        <v>21</v>
      </c>
      <c r="D245" s="130" t="s">
        <v>289</v>
      </c>
      <c r="E245" s="130" t="s">
        <v>441</v>
      </c>
      <c r="F245" s="130">
        <v>36</v>
      </c>
      <c r="G245" s="131">
        <v>1015</v>
      </c>
      <c r="H245" s="132">
        <f>Tablo28[[#This Row],[GÜN
TEK]]*Tablo28[[#This Row],[TUTAR]]</f>
        <v>36540</v>
      </c>
      <c r="I245" s="132">
        <f>Tablo28[[#This Row],[TOPLAM]]*0.2</f>
        <v>7308</v>
      </c>
      <c r="J245" s="132">
        <f>SUM(Tablo28[[#This Row],[TOPLAM]:[0,20%]])</f>
        <v>43848</v>
      </c>
      <c r="K245" s="132">
        <f>Tablo28[[#This Row],[TOPLAM]]*0.1</f>
        <v>3654</v>
      </c>
      <c r="L245" s="132">
        <f>Tablo28[[#This Row],[TOPLAM]]+Tablo28[[#This Row],[0,20%]]-Tablo28[[#This Row],[0,10%]]</f>
        <v>40194</v>
      </c>
    </row>
    <row r="246" spans="1:12" x14ac:dyDescent="0.25">
      <c r="A246" s="130" t="s">
        <v>135</v>
      </c>
      <c r="B246" s="130" t="s">
        <v>447</v>
      </c>
      <c r="C246" s="130" t="s">
        <v>21</v>
      </c>
      <c r="D246" s="130" t="s">
        <v>289</v>
      </c>
      <c r="E246" s="130" t="s">
        <v>10</v>
      </c>
      <c r="G246" s="131">
        <v>1353.33</v>
      </c>
      <c r="H246" s="132">
        <f>Tablo28[[#This Row],[GÜN
TEK]]*Tablo28[[#This Row],[TUTAR]]</f>
        <v>0</v>
      </c>
      <c r="I246" s="132">
        <f>Tablo28[[#This Row],[TOPLAM]]*0.2</f>
        <v>0</v>
      </c>
      <c r="J246" s="132">
        <f>SUM(Tablo28[[#This Row],[TOPLAM]:[0,20%]])</f>
        <v>0</v>
      </c>
      <c r="K246" s="132">
        <f>Tablo28[[#This Row],[TOPLAM]]*0.1</f>
        <v>0</v>
      </c>
      <c r="L246" s="132">
        <f>Tablo28[[#This Row],[TOPLAM]]+Tablo28[[#This Row],[0,20%]]-Tablo28[[#This Row],[0,10%]]</f>
        <v>0</v>
      </c>
    </row>
    <row r="247" spans="1:12" x14ac:dyDescent="0.25">
      <c r="B247" s="130" t="s">
        <v>547</v>
      </c>
      <c r="C247" s="130" t="s">
        <v>138</v>
      </c>
      <c r="E247" s="130" t="s">
        <v>47</v>
      </c>
      <c r="G247" s="131">
        <v>1400</v>
      </c>
      <c r="H247" s="132">
        <f>Tablo28[[#This Row],[GÜN
TEK]]*Tablo28[[#This Row],[TUTAR]]</f>
        <v>0</v>
      </c>
      <c r="I247" s="132">
        <f>Tablo28[[#This Row],[TOPLAM]]*0.2</f>
        <v>0</v>
      </c>
      <c r="J247" s="132">
        <f>SUM(Tablo28[[#This Row],[TOPLAM]:[0,20%]])</f>
        <v>0</v>
      </c>
      <c r="K247" s="132">
        <f>Tablo28[[#This Row],[TOPLAM]]*0.1</f>
        <v>0</v>
      </c>
      <c r="L247" s="132">
        <f>Tablo28[[#This Row],[TOPLAM]]+Tablo28[[#This Row],[0,20%]]-Tablo28[[#This Row],[0,10%]]</f>
        <v>0</v>
      </c>
    </row>
    <row r="248" spans="1:12" ht="14.4" thickBot="1" x14ac:dyDescent="0.3">
      <c r="A248" s="130" t="s">
        <v>135</v>
      </c>
      <c r="B248" s="130" t="s">
        <v>448</v>
      </c>
      <c r="C248" s="130" t="s">
        <v>449</v>
      </c>
      <c r="E248" s="130" t="s">
        <v>441</v>
      </c>
      <c r="F248" s="130">
        <v>30</v>
      </c>
      <c r="G248" s="131">
        <v>1400</v>
      </c>
      <c r="H248" s="132">
        <f>Tablo28[[#This Row],[GÜN
TEK]]*Tablo28[[#This Row],[TUTAR]]</f>
        <v>42000</v>
      </c>
      <c r="I248" s="132">
        <f>Tablo28[[#This Row],[TOPLAM]]*0.2</f>
        <v>8400</v>
      </c>
      <c r="J248" s="132">
        <f>SUM(Tablo28[[#This Row],[TOPLAM]:[0,20%]])</f>
        <v>50400</v>
      </c>
      <c r="K248" s="132">
        <f>Tablo28[[#This Row],[TOPLAM]]*0.1</f>
        <v>4200</v>
      </c>
      <c r="L248" s="132">
        <f>Tablo28[[#This Row],[TOPLAM]]+Tablo28[[#This Row],[0,20%]]-Tablo28[[#This Row],[0,10%]]</f>
        <v>46200</v>
      </c>
    </row>
    <row r="249" spans="1:12" ht="15" thickTop="1" thickBot="1" x14ac:dyDescent="0.3">
      <c r="G249" s="130"/>
      <c r="H249" s="133">
        <f>SUBTOTAL(109,H226:H248)</f>
        <v>441070</v>
      </c>
      <c r="I249" s="133">
        <f t="shared" ref="I249:K249" si="9">SUBTOTAL(109,I226:I248)</f>
        <v>88214</v>
      </c>
      <c r="J249" s="133">
        <f t="shared" si="9"/>
        <v>529284</v>
      </c>
      <c r="K249" s="133">
        <f t="shared" si="9"/>
        <v>44107</v>
      </c>
      <c r="L249" s="133">
        <f t="shared" ref="L249" si="10">SUBTOTAL(109,L226:L248)</f>
        <v>485177</v>
      </c>
    </row>
    <row r="250" spans="1:12" ht="14.4" thickTop="1" x14ac:dyDescent="0.25"/>
    <row r="251" spans="1:12" s="138" customFormat="1" ht="34.950000000000003" customHeight="1" thickBot="1" x14ac:dyDescent="0.35">
      <c r="A251" s="139" t="s">
        <v>202</v>
      </c>
      <c r="B251" s="139" t="s">
        <v>327</v>
      </c>
      <c r="C251" s="139" t="s">
        <v>0</v>
      </c>
      <c r="D251" s="139" t="s">
        <v>1</v>
      </c>
      <c r="E251" s="139" t="s">
        <v>326</v>
      </c>
      <c r="F251" s="140" t="s">
        <v>328</v>
      </c>
      <c r="G251" s="141" t="s">
        <v>2</v>
      </c>
      <c r="H251" s="141" t="s">
        <v>3</v>
      </c>
      <c r="I251" s="141" t="s">
        <v>229</v>
      </c>
      <c r="J251" s="141" t="s">
        <v>4</v>
      </c>
      <c r="K251" s="141" t="s">
        <v>228</v>
      </c>
      <c r="L251" s="141" t="s">
        <v>5</v>
      </c>
    </row>
    <row r="252" spans="1:12" hidden="1" x14ac:dyDescent="0.25">
      <c r="A252" s="130" t="s">
        <v>227</v>
      </c>
      <c r="B252" s="130" t="s">
        <v>450</v>
      </c>
      <c r="C252" s="130" t="s">
        <v>151</v>
      </c>
      <c r="E252" s="130" t="s">
        <v>38</v>
      </c>
      <c r="G252" s="131">
        <v>1700</v>
      </c>
      <c r="H252" s="132">
        <f>Tablo29[[#This Row],[GÜN
TEK]]*Tablo29[[#This Row],[TUTAR]]</f>
        <v>0</v>
      </c>
      <c r="I252" s="132">
        <f>Tablo29[[#This Row],[TOPLAM]]*0.2</f>
        <v>0</v>
      </c>
      <c r="J252" s="132">
        <f>SUM(Tablo29[[#This Row],[TOPLAM]:[0,20%]])</f>
        <v>0</v>
      </c>
      <c r="K252" s="132">
        <f>Tablo29[[#This Row],[TOPLAM]]*0.1</f>
        <v>0</v>
      </c>
      <c r="L252" s="132">
        <f>Tablo29[[#This Row],[TOPLAM]]+Tablo29[[#This Row],[0,20%]]-Tablo29[[#This Row],[0,10%]]</f>
        <v>0</v>
      </c>
    </row>
    <row r="253" spans="1:12" hidden="1" x14ac:dyDescent="0.25">
      <c r="A253" s="130" t="s">
        <v>227</v>
      </c>
      <c r="B253" s="130" t="s">
        <v>450</v>
      </c>
      <c r="C253" s="130" t="s">
        <v>151</v>
      </c>
      <c r="E253" s="130" t="s">
        <v>47</v>
      </c>
      <c r="F253" s="130">
        <v>60</v>
      </c>
      <c r="G253" s="131">
        <v>1000</v>
      </c>
      <c r="H253" s="132">
        <f>Tablo29[[#This Row],[GÜN
TEK]]*Tablo29[[#This Row],[TUTAR]]</f>
        <v>60000</v>
      </c>
      <c r="I253" s="132">
        <f>Tablo29[[#This Row],[TOPLAM]]*0.2</f>
        <v>12000</v>
      </c>
      <c r="J253" s="132">
        <f>SUM(Tablo29[[#This Row],[TOPLAM]:[0,20%]])</f>
        <v>72000</v>
      </c>
      <c r="K253" s="132">
        <f>Tablo29[[#This Row],[TOPLAM]]*0.1</f>
        <v>6000</v>
      </c>
      <c r="L253" s="132">
        <f>Tablo29[[#This Row],[TOPLAM]]+Tablo29[[#This Row],[0,20%]]-Tablo29[[#This Row],[0,10%]]</f>
        <v>66000</v>
      </c>
    </row>
    <row r="254" spans="1:12" hidden="1" x14ac:dyDescent="0.25">
      <c r="A254" s="130" t="s">
        <v>227</v>
      </c>
      <c r="B254" s="130" t="s">
        <v>451</v>
      </c>
      <c r="C254" s="130" t="s">
        <v>151</v>
      </c>
      <c r="E254" s="130" t="s">
        <v>38</v>
      </c>
      <c r="G254" s="131">
        <v>1700</v>
      </c>
      <c r="H254" s="132">
        <f>Tablo29[[#This Row],[GÜN
TEK]]*Tablo29[[#This Row],[TUTAR]]</f>
        <v>0</v>
      </c>
      <c r="I254" s="132">
        <f>Tablo29[[#This Row],[TOPLAM]]*0.2</f>
        <v>0</v>
      </c>
      <c r="J254" s="132">
        <f>SUM(Tablo29[[#This Row],[TOPLAM]:[0,20%]])</f>
        <v>0</v>
      </c>
      <c r="K254" s="132">
        <f>Tablo29[[#This Row],[TOPLAM]]*0.1</f>
        <v>0</v>
      </c>
      <c r="L254" s="132">
        <f>Tablo29[[#This Row],[TOPLAM]]+Tablo29[[#This Row],[0,20%]]-Tablo29[[#This Row],[0,10%]]</f>
        <v>0</v>
      </c>
    </row>
    <row r="255" spans="1:12" hidden="1" x14ac:dyDescent="0.25">
      <c r="A255" s="130" t="s">
        <v>227</v>
      </c>
      <c r="B255" s="130" t="s">
        <v>451</v>
      </c>
      <c r="C255" s="130" t="s">
        <v>151</v>
      </c>
      <c r="E255" s="130" t="s">
        <v>47</v>
      </c>
      <c r="F255" s="130">
        <v>44</v>
      </c>
      <c r="G255" s="131">
        <v>1000</v>
      </c>
      <c r="H255" s="132">
        <f>Tablo29[[#This Row],[GÜN
TEK]]*Tablo29[[#This Row],[TUTAR]]</f>
        <v>44000</v>
      </c>
      <c r="I255" s="132">
        <f>Tablo29[[#This Row],[TOPLAM]]*0.2</f>
        <v>8800</v>
      </c>
      <c r="J255" s="132">
        <f>SUM(Tablo29[[#This Row],[TOPLAM]:[0,20%]])</f>
        <v>52800</v>
      </c>
      <c r="K255" s="132">
        <f>Tablo29[[#This Row],[TOPLAM]]*0.1</f>
        <v>4400</v>
      </c>
      <c r="L255" s="132">
        <f>Tablo29[[#This Row],[TOPLAM]]+Tablo29[[#This Row],[0,20%]]-Tablo29[[#This Row],[0,10%]]</f>
        <v>48400</v>
      </c>
    </row>
    <row r="256" spans="1:12" hidden="1" x14ac:dyDescent="0.25">
      <c r="A256" s="130" t="s">
        <v>227</v>
      </c>
      <c r="B256" s="130" t="s">
        <v>541</v>
      </c>
      <c r="C256" s="130" t="s">
        <v>151</v>
      </c>
      <c r="E256" s="130" t="s">
        <v>38</v>
      </c>
      <c r="G256" s="131">
        <v>1700</v>
      </c>
      <c r="H256" s="132">
        <f>Tablo29[[#This Row],[GÜN
TEK]]*Tablo29[[#This Row],[TUTAR]]</f>
        <v>0</v>
      </c>
      <c r="I256" s="132">
        <f>Tablo29[[#This Row],[TOPLAM]]*0.2</f>
        <v>0</v>
      </c>
      <c r="J256" s="132">
        <f>SUM(Tablo29[[#This Row],[TOPLAM]:[0,20%]])</f>
        <v>0</v>
      </c>
      <c r="K256" s="132">
        <f>Tablo29[[#This Row],[TOPLAM]]*0.1</f>
        <v>0</v>
      </c>
      <c r="L256" s="132">
        <f>Tablo29[[#This Row],[TOPLAM]]+Tablo29[[#This Row],[0,20%]]-Tablo29[[#This Row],[0,10%]]</f>
        <v>0</v>
      </c>
    </row>
    <row r="257" spans="1:12" hidden="1" x14ac:dyDescent="0.25">
      <c r="A257" s="130" t="s">
        <v>227</v>
      </c>
      <c r="B257" s="130" t="s">
        <v>541</v>
      </c>
      <c r="C257" s="130" t="s">
        <v>151</v>
      </c>
      <c r="E257" s="130" t="s">
        <v>47</v>
      </c>
      <c r="F257" s="130">
        <v>38</v>
      </c>
      <c r="G257" s="131">
        <v>1000</v>
      </c>
      <c r="H257" s="132">
        <f>Tablo29[[#This Row],[GÜN
TEK]]*Tablo29[[#This Row],[TUTAR]]</f>
        <v>38000</v>
      </c>
      <c r="I257" s="132">
        <f>Tablo29[[#This Row],[TOPLAM]]*0.2</f>
        <v>7600</v>
      </c>
      <c r="J257" s="132">
        <f>SUM(Tablo29[[#This Row],[TOPLAM]:[0,20%]])</f>
        <v>45600</v>
      </c>
      <c r="K257" s="132">
        <f>Tablo29[[#This Row],[TOPLAM]]*0.1</f>
        <v>3800</v>
      </c>
      <c r="L257" s="132">
        <f>Tablo29[[#This Row],[TOPLAM]]+Tablo29[[#This Row],[0,20%]]-Tablo29[[#This Row],[0,10%]]</f>
        <v>41800</v>
      </c>
    </row>
    <row r="258" spans="1:12" hidden="1" x14ac:dyDescent="0.25">
      <c r="A258" s="130" t="s">
        <v>227</v>
      </c>
      <c r="B258" s="130" t="s">
        <v>452</v>
      </c>
      <c r="C258" s="130" t="s">
        <v>151</v>
      </c>
      <c r="E258" s="130" t="s">
        <v>38</v>
      </c>
      <c r="F258" s="130">
        <v>2</v>
      </c>
      <c r="G258" s="131">
        <v>2000</v>
      </c>
      <c r="H258" s="132">
        <f>Tablo29[[#This Row],[GÜN
TEK]]*Tablo29[[#This Row],[TUTAR]]</f>
        <v>4000</v>
      </c>
      <c r="I258" s="132">
        <f>Tablo29[[#This Row],[TOPLAM]]*0.2</f>
        <v>800</v>
      </c>
      <c r="J258" s="132">
        <f>SUM(Tablo29[[#This Row],[TOPLAM]:[0,20%]])</f>
        <v>4800</v>
      </c>
      <c r="K258" s="132">
        <f>Tablo29[[#This Row],[TOPLAM]]*0.1</f>
        <v>400</v>
      </c>
      <c r="L258" s="132">
        <f>Tablo29[[#This Row],[TOPLAM]]+Tablo29[[#This Row],[0,20%]]-Tablo29[[#This Row],[0,10%]]</f>
        <v>4400</v>
      </c>
    </row>
    <row r="259" spans="1:12" hidden="1" x14ac:dyDescent="0.25">
      <c r="A259" s="130" t="s">
        <v>227</v>
      </c>
      <c r="B259" s="130" t="s">
        <v>452</v>
      </c>
      <c r="C259" s="130" t="s">
        <v>151</v>
      </c>
      <c r="E259" s="130" t="s">
        <v>575</v>
      </c>
      <c r="F259" s="130">
        <v>86</v>
      </c>
      <c r="G259" s="131">
        <v>1500</v>
      </c>
      <c r="H259" s="132">
        <f>Tablo29[[#This Row],[GÜN
TEK]]*Tablo29[[#This Row],[TUTAR]]</f>
        <v>129000</v>
      </c>
      <c r="I259" s="132">
        <f>Tablo29[[#This Row],[TOPLAM]]*0.2</f>
        <v>25800</v>
      </c>
      <c r="J259" s="132">
        <f>SUM(Tablo29[[#This Row],[TOPLAM]:[0,20%]])</f>
        <v>154800</v>
      </c>
      <c r="K259" s="132">
        <f>Tablo29[[#This Row],[TOPLAM]]*0.1</f>
        <v>12900</v>
      </c>
      <c r="L259" s="132">
        <f>Tablo29[[#This Row],[TOPLAM]]+Tablo29[[#This Row],[0,20%]]-Tablo29[[#This Row],[0,10%]]</f>
        <v>141900</v>
      </c>
    </row>
    <row r="260" spans="1:12" hidden="1" x14ac:dyDescent="0.25">
      <c r="A260" s="130" t="s">
        <v>227</v>
      </c>
      <c r="B260" s="130" t="s">
        <v>453</v>
      </c>
      <c r="C260" s="130" t="s">
        <v>151</v>
      </c>
      <c r="E260" s="130" t="s">
        <v>38</v>
      </c>
      <c r="G260" s="131">
        <v>2000</v>
      </c>
      <c r="H260" s="132">
        <f>Tablo29[[#This Row],[GÜN
TEK]]*Tablo29[[#This Row],[TUTAR]]</f>
        <v>0</v>
      </c>
      <c r="I260" s="132">
        <f>Tablo29[[#This Row],[TOPLAM]]*0.2</f>
        <v>0</v>
      </c>
      <c r="J260" s="132">
        <f>SUM(Tablo29[[#This Row],[TOPLAM]:[0,20%]])</f>
        <v>0</v>
      </c>
      <c r="K260" s="132">
        <f>Tablo29[[#This Row],[TOPLAM]]*0.1</f>
        <v>0</v>
      </c>
      <c r="L260" s="132">
        <f>Tablo29[[#This Row],[TOPLAM]]+Tablo29[[#This Row],[0,20%]]-Tablo29[[#This Row],[0,10%]]</f>
        <v>0</v>
      </c>
    </row>
    <row r="261" spans="1:12" hidden="1" x14ac:dyDescent="0.25">
      <c r="A261" s="130" t="s">
        <v>227</v>
      </c>
      <c r="B261" s="130" t="s">
        <v>453</v>
      </c>
      <c r="C261" s="130" t="s">
        <v>151</v>
      </c>
      <c r="E261" s="130" t="s">
        <v>47</v>
      </c>
      <c r="F261" s="130">
        <v>44</v>
      </c>
      <c r="G261" s="131">
        <v>1500</v>
      </c>
      <c r="H261" s="132">
        <f>Tablo29[[#This Row],[GÜN
TEK]]*Tablo29[[#This Row],[TUTAR]]</f>
        <v>66000</v>
      </c>
      <c r="I261" s="132">
        <f>Tablo29[[#This Row],[TOPLAM]]*0.2</f>
        <v>13200</v>
      </c>
      <c r="J261" s="132">
        <f>SUM(Tablo29[[#This Row],[TOPLAM]:[0,20%]])</f>
        <v>79200</v>
      </c>
      <c r="K261" s="132">
        <f>Tablo29[[#This Row],[TOPLAM]]*0.1</f>
        <v>6600</v>
      </c>
      <c r="L261" s="132">
        <f>Tablo29[[#This Row],[TOPLAM]]+Tablo29[[#This Row],[0,20%]]-Tablo29[[#This Row],[0,10%]]</f>
        <v>72600</v>
      </c>
    </row>
    <row r="262" spans="1:12" hidden="1" x14ac:dyDescent="0.25">
      <c r="A262" s="130" t="s">
        <v>227</v>
      </c>
      <c r="B262" s="130" t="s">
        <v>454</v>
      </c>
      <c r="C262" s="130" t="s">
        <v>151</v>
      </c>
      <c r="E262" s="130" t="s">
        <v>38</v>
      </c>
      <c r="G262" s="131">
        <v>2000</v>
      </c>
      <c r="H262" s="132">
        <f>Tablo29[[#This Row],[GÜN
TEK]]*Tablo29[[#This Row],[TUTAR]]</f>
        <v>0</v>
      </c>
      <c r="I262" s="132">
        <f>Tablo29[[#This Row],[TOPLAM]]*0.2</f>
        <v>0</v>
      </c>
      <c r="J262" s="132">
        <f>SUM(Tablo29[[#This Row],[TOPLAM]:[0,20%]])</f>
        <v>0</v>
      </c>
      <c r="K262" s="132">
        <f>Tablo29[[#This Row],[TOPLAM]]*0.1</f>
        <v>0</v>
      </c>
      <c r="L262" s="132">
        <f>Tablo29[[#This Row],[TOPLAM]]+Tablo29[[#This Row],[0,20%]]-Tablo29[[#This Row],[0,10%]]</f>
        <v>0</v>
      </c>
    </row>
    <row r="263" spans="1:12" hidden="1" x14ac:dyDescent="0.25">
      <c r="A263" s="130" t="s">
        <v>227</v>
      </c>
      <c r="B263" s="130" t="s">
        <v>454</v>
      </c>
      <c r="C263" s="130" t="s">
        <v>151</v>
      </c>
      <c r="E263" s="130" t="s">
        <v>47</v>
      </c>
      <c r="F263" s="130">
        <v>38</v>
      </c>
      <c r="G263" s="131">
        <v>1500</v>
      </c>
      <c r="H263" s="132">
        <f>Tablo29[[#This Row],[GÜN
TEK]]*Tablo29[[#This Row],[TUTAR]]</f>
        <v>57000</v>
      </c>
      <c r="I263" s="132">
        <f>Tablo29[[#This Row],[TOPLAM]]*0.2</f>
        <v>11400</v>
      </c>
      <c r="J263" s="132">
        <f>SUM(Tablo29[[#This Row],[TOPLAM]:[0,20%]])</f>
        <v>68400</v>
      </c>
      <c r="K263" s="132">
        <f>Tablo29[[#This Row],[TOPLAM]]*0.1</f>
        <v>5700</v>
      </c>
      <c r="L263" s="132">
        <f>Tablo29[[#This Row],[TOPLAM]]+Tablo29[[#This Row],[0,20%]]-Tablo29[[#This Row],[0,10%]]</f>
        <v>62700</v>
      </c>
    </row>
    <row r="264" spans="1:12" hidden="1" x14ac:dyDescent="0.25">
      <c r="A264" s="130" t="s">
        <v>227</v>
      </c>
      <c r="B264" s="130" t="s">
        <v>508</v>
      </c>
      <c r="C264" s="130" t="s">
        <v>151</v>
      </c>
      <c r="E264" s="130" t="s">
        <v>140</v>
      </c>
      <c r="F264" s="130">
        <v>6</v>
      </c>
      <c r="G264" s="131">
        <v>1000</v>
      </c>
      <c r="H264" s="132">
        <f>Tablo29[[#This Row],[GÜN
TEK]]*Tablo29[[#This Row],[TUTAR]]</f>
        <v>6000</v>
      </c>
      <c r="I264" s="132">
        <f>Tablo29[[#This Row],[TOPLAM]]*0.2</f>
        <v>1200</v>
      </c>
      <c r="J264" s="132">
        <f>SUM(Tablo29[[#This Row],[TOPLAM]:[0,20%]])</f>
        <v>7200</v>
      </c>
      <c r="K264" s="132">
        <f>Tablo29[[#This Row],[TOPLAM]]*0.1</f>
        <v>600</v>
      </c>
      <c r="L264" s="132">
        <f>Tablo29[[#This Row],[TOPLAM]]+Tablo29[[#This Row],[0,20%]]-Tablo29[[#This Row],[0,10%]]</f>
        <v>6600</v>
      </c>
    </row>
    <row r="265" spans="1:12" hidden="1" x14ac:dyDescent="0.25">
      <c r="A265" s="130" t="s">
        <v>227</v>
      </c>
      <c r="B265" s="130" t="s">
        <v>17</v>
      </c>
      <c r="C265" s="130" t="s">
        <v>322</v>
      </c>
      <c r="E265" s="130" t="s">
        <v>38</v>
      </c>
      <c r="G265" s="131">
        <v>2100</v>
      </c>
      <c r="H265" s="132">
        <f>Tablo29[[#This Row],[GÜN
TEK]]*Tablo29[[#This Row],[TUTAR]]</f>
        <v>0</v>
      </c>
      <c r="I265" s="132">
        <f>Tablo29[[#This Row],[TOPLAM]]*0.2</f>
        <v>0</v>
      </c>
      <c r="J265" s="132">
        <f>SUM(Tablo29[[#This Row],[TOPLAM]:[0,20%]])</f>
        <v>0</v>
      </c>
      <c r="K265" s="132">
        <f>Tablo29[[#This Row],[TOPLAM]]*0.1</f>
        <v>0</v>
      </c>
      <c r="L265" s="132">
        <f>Tablo29[[#This Row],[TOPLAM]]+Tablo29[[#This Row],[0,20%]]-Tablo29[[#This Row],[0,10%]]</f>
        <v>0</v>
      </c>
    </row>
    <row r="266" spans="1:12" hidden="1" x14ac:dyDescent="0.25">
      <c r="A266" s="130" t="s">
        <v>227</v>
      </c>
      <c r="B266" s="130" t="s">
        <v>17</v>
      </c>
      <c r="C266" s="130" t="s">
        <v>322</v>
      </c>
      <c r="E266" s="130" t="s">
        <v>47</v>
      </c>
      <c r="F266" s="130">
        <v>43</v>
      </c>
      <c r="G266" s="131">
        <v>1800</v>
      </c>
      <c r="H266" s="132">
        <f>Tablo29[[#This Row],[GÜN
TEK]]*Tablo29[[#This Row],[TUTAR]]</f>
        <v>77400</v>
      </c>
      <c r="I266" s="132">
        <f>Tablo29[[#This Row],[TOPLAM]]*0.2</f>
        <v>15480</v>
      </c>
      <c r="J266" s="132">
        <f>SUM(Tablo29[[#This Row],[TOPLAM]:[0,20%]])</f>
        <v>92880</v>
      </c>
      <c r="K266" s="132">
        <f>Tablo29[[#This Row],[TOPLAM]]*0.1</f>
        <v>7740</v>
      </c>
      <c r="L266" s="132">
        <f>Tablo29[[#This Row],[TOPLAM]]+Tablo29[[#This Row],[0,20%]]-Tablo29[[#This Row],[0,10%]]</f>
        <v>85140</v>
      </c>
    </row>
    <row r="267" spans="1:12" x14ac:dyDescent="0.25">
      <c r="A267" s="130" t="s">
        <v>227</v>
      </c>
      <c r="B267" s="130" t="s">
        <v>20</v>
      </c>
      <c r="C267" s="130" t="s">
        <v>7</v>
      </c>
      <c r="E267" s="130" t="s">
        <v>38</v>
      </c>
      <c r="G267" s="131">
        <v>2750</v>
      </c>
      <c r="H267" s="132">
        <f>Tablo29[[#This Row],[GÜN
TEK]]*Tablo29[[#This Row],[TUTAR]]</f>
        <v>0</v>
      </c>
      <c r="I267" s="132">
        <f>Tablo29[[#This Row],[TOPLAM]]*0.2</f>
        <v>0</v>
      </c>
      <c r="J267" s="132">
        <f>SUM(Tablo29[[#This Row],[TOPLAM]:[0,20%]])</f>
        <v>0</v>
      </c>
      <c r="K267" s="132">
        <f>Tablo29[[#This Row],[TOPLAM]]*0.1</f>
        <v>0</v>
      </c>
      <c r="L267" s="132">
        <f>Tablo29[[#This Row],[TOPLAM]]+Tablo29[[#This Row],[0,20%]]-Tablo29[[#This Row],[0,10%]]</f>
        <v>0</v>
      </c>
    </row>
    <row r="268" spans="1:12" x14ac:dyDescent="0.25">
      <c r="A268" s="130" t="s">
        <v>227</v>
      </c>
      <c r="B268" s="130" t="s">
        <v>20</v>
      </c>
      <c r="C268" s="130" t="s">
        <v>7</v>
      </c>
      <c r="E268" s="130" t="s">
        <v>47</v>
      </c>
      <c r="F268" s="130">
        <v>57</v>
      </c>
      <c r="G268" s="131">
        <v>2300</v>
      </c>
      <c r="H268" s="132">
        <f>Tablo29[[#This Row],[GÜN
TEK]]*Tablo29[[#This Row],[TUTAR]]</f>
        <v>131100</v>
      </c>
      <c r="I268" s="132">
        <f>Tablo29[[#This Row],[TOPLAM]]*0.2</f>
        <v>26220</v>
      </c>
      <c r="J268" s="132">
        <f>SUM(Tablo29[[#This Row],[TOPLAM]:[0,20%]])</f>
        <v>157320</v>
      </c>
      <c r="K268" s="132">
        <f>Tablo29[[#This Row],[TOPLAM]]*0.1</f>
        <v>13110</v>
      </c>
      <c r="L268" s="132">
        <f>Tablo29[[#This Row],[TOPLAM]]+Tablo29[[#This Row],[0,20%]]-Tablo29[[#This Row],[0,10%]]</f>
        <v>144210</v>
      </c>
    </row>
    <row r="269" spans="1:12" hidden="1" x14ac:dyDescent="0.25">
      <c r="A269" s="130" t="s">
        <v>227</v>
      </c>
      <c r="B269" s="130" t="s">
        <v>40</v>
      </c>
      <c r="C269" s="130" t="s">
        <v>26</v>
      </c>
      <c r="E269" s="130" t="s">
        <v>38</v>
      </c>
      <c r="F269" s="130">
        <v>4</v>
      </c>
      <c r="G269" s="131">
        <v>2000</v>
      </c>
      <c r="H269" s="132">
        <f>Tablo29[[#This Row],[GÜN
TEK]]*Tablo29[[#This Row],[TUTAR]]</f>
        <v>8000</v>
      </c>
      <c r="I269" s="132">
        <f>Tablo29[[#This Row],[TOPLAM]]*0.2</f>
        <v>1600</v>
      </c>
      <c r="J269" s="132">
        <f>SUM(Tablo29[[#This Row],[TOPLAM]:[0,20%]])</f>
        <v>9600</v>
      </c>
      <c r="K269" s="132">
        <f>Tablo29[[#This Row],[TOPLAM]]*0.1</f>
        <v>800</v>
      </c>
      <c r="L269" s="132">
        <f>Tablo29[[#This Row],[TOPLAM]]+Tablo29[[#This Row],[0,20%]]-Tablo29[[#This Row],[0,10%]]</f>
        <v>8800</v>
      </c>
    </row>
    <row r="270" spans="1:12" hidden="1" x14ac:dyDescent="0.25">
      <c r="A270" s="130" t="s">
        <v>227</v>
      </c>
      <c r="B270" s="130" t="s">
        <v>40</v>
      </c>
      <c r="C270" s="130" t="s">
        <v>26</v>
      </c>
      <c r="E270" s="130" t="s">
        <v>47</v>
      </c>
      <c r="F270" s="130">
        <v>76</v>
      </c>
      <c r="G270" s="131">
        <v>1800</v>
      </c>
      <c r="H270" s="132">
        <f>Tablo29[[#This Row],[GÜN
TEK]]*Tablo29[[#This Row],[TUTAR]]</f>
        <v>136800</v>
      </c>
      <c r="I270" s="132">
        <f>Tablo29[[#This Row],[TOPLAM]]*0.2</f>
        <v>27360</v>
      </c>
      <c r="J270" s="132">
        <f>SUM(Tablo29[[#This Row],[TOPLAM]:[0,20%]])</f>
        <v>164160</v>
      </c>
      <c r="K270" s="132">
        <f>Tablo29[[#This Row],[TOPLAM]]*0.1</f>
        <v>13680</v>
      </c>
      <c r="L270" s="132">
        <f>Tablo29[[#This Row],[TOPLAM]]+Tablo29[[#This Row],[0,20%]]-Tablo29[[#This Row],[0,10%]]</f>
        <v>150480</v>
      </c>
    </row>
    <row r="271" spans="1:12" hidden="1" x14ac:dyDescent="0.25">
      <c r="A271" s="130" t="s">
        <v>227</v>
      </c>
      <c r="B271" s="130" t="s">
        <v>455</v>
      </c>
      <c r="C271" s="130" t="s">
        <v>151</v>
      </c>
      <c r="E271" s="130" t="s">
        <v>38</v>
      </c>
      <c r="G271" s="131">
        <v>1750</v>
      </c>
      <c r="H271" s="132">
        <f>Tablo29[[#This Row],[GÜN
TEK]]*Tablo29[[#This Row],[TUTAR]]</f>
        <v>0</v>
      </c>
      <c r="I271" s="132">
        <f>Tablo29[[#This Row],[TOPLAM]]*0.2</f>
        <v>0</v>
      </c>
      <c r="J271" s="132">
        <f>SUM(Tablo29[[#This Row],[TOPLAM]:[0,20%]])</f>
        <v>0</v>
      </c>
      <c r="K271" s="132">
        <f>Tablo29[[#This Row],[TOPLAM]]*0.1</f>
        <v>0</v>
      </c>
      <c r="L271" s="132">
        <f>Tablo29[[#This Row],[TOPLAM]]+Tablo29[[#This Row],[0,20%]]-Tablo29[[#This Row],[0,10%]]</f>
        <v>0</v>
      </c>
    </row>
    <row r="272" spans="1:12" hidden="1" x14ac:dyDescent="0.25">
      <c r="A272" s="130" t="s">
        <v>227</v>
      </c>
      <c r="B272" s="130" t="s">
        <v>455</v>
      </c>
      <c r="C272" s="130" t="s">
        <v>151</v>
      </c>
      <c r="E272" s="130" t="s">
        <v>47</v>
      </c>
      <c r="F272" s="130">
        <v>50</v>
      </c>
      <c r="G272" s="131">
        <v>1200</v>
      </c>
      <c r="H272" s="132">
        <f>Tablo29[[#This Row],[GÜN
TEK]]*Tablo29[[#This Row],[TUTAR]]</f>
        <v>60000</v>
      </c>
      <c r="I272" s="132">
        <f>Tablo29[[#This Row],[TOPLAM]]*0.2</f>
        <v>12000</v>
      </c>
      <c r="J272" s="132">
        <f>SUM(Tablo29[[#This Row],[TOPLAM]:[0,20%]])</f>
        <v>72000</v>
      </c>
      <c r="K272" s="132">
        <f>Tablo29[[#This Row],[TOPLAM]]*0.1</f>
        <v>6000</v>
      </c>
      <c r="L272" s="132">
        <f>Tablo29[[#This Row],[TOPLAM]]+Tablo29[[#This Row],[0,20%]]-Tablo29[[#This Row],[0,10%]]</f>
        <v>66000</v>
      </c>
    </row>
    <row r="273" spans="1:12" hidden="1" x14ac:dyDescent="0.25">
      <c r="A273" s="130" t="s">
        <v>227</v>
      </c>
      <c r="B273" s="130" t="s">
        <v>456</v>
      </c>
      <c r="C273" s="130" t="s">
        <v>151</v>
      </c>
      <c r="E273" s="130" t="s">
        <v>38</v>
      </c>
      <c r="G273" s="131">
        <v>1700</v>
      </c>
      <c r="H273" s="132">
        <f>Tablo29[[#This Row],[GÜN
TEK]]*Tablo29[[#This Row],[TUTAR]]</f>
        <v>0</v>
      </c>
      <c r="I273" s="132">
        <f>Tablo29[[#This Row],[TOPLAM]]*0.2</f>
        <v>0</v>
      </c>
      <c r="J273" s="132">
        <f>SUM(Tablo29[[#This Row],[TOPLAM]:[0,20%]])</f>
        <v>0</v>
      </c>
      <c r="K273" s="132">
        <f>Tablo29[[#This Row],[TOPLAM]]*0.1</f>
        <v>0</v>
      </c>
      <c r="L273" s="132">
        <f>Tablo29[[#This Row],[TOPLAM]]+Tablo29[[#This Row],[0,20%]]-Tablo29[[#This Row],[0,10%]]</f>
        <v>0</v>
      </c>
    </row>
    <row r="274" spans="1:12" hidden="1" x14ac:dyDescent="0.25">
      <c r="A274" s="130" t="s">
        <v>227</v>
      </c>
      <c r="B274" s="130" t="s">
        <v>456</v>
      </c>
      <c r="C274" s="130" t="s">
        <v>151</v>
      </c>
      <c r="E274" s="130" t="s">
        <v>47</v>
      </c>
      <c r="F274" s="130">
        <v>38</v>
      </c>
      <c r="G274" s="131">
        <v>1100</v>
      </c>
      <c r="H274" s="132">
        <f>Tablo29[[#This Row],[GÜN
TEK]]*Tablo29[[#This Row],[TUTAR]]</f>
        <v>41800</v>
      </c>
      <c r="I274" s="132">
        <f>Tablo29[[#This Row],[TOPLAM]]*0.2</f>
        <v>8360</v>
      </c>
      <c r="J274" s="132">
        <f>SUM(Tablo29[[#This Row],[TOPLAM]:[0,20%]])</f>
        <v>50160</v>
      </c>
      <c r="K274" s="132">
        <f>Tablo29[[#This Row],[TOPLAM]]*0.1</f>
        <v>4180</v>
      </c>
      <c r="L274" s="132">
        <f>Tablo29[[#This Row],[TOPLAM]]+Tablo29[[#This Row],[0,20%]]-Tablo29[[#This Row],[0,10%]]</f>
        <v>45980</v>
      </c>
    </row>
    <row r="275" spans="1:12" hidden="1" x14ac:dyDescent="0.25">
      <c r="A275" s="130" t="s">
        <v>227</v>
      </c>
      <c r="B275" s="130" t="s">
        <v>457</v>
      </c>
      <c r="C275" s="130" t="s">
        <v>458</v>
      </c>
      <c r="E275" s="130" t="s">
        <v>38</v>
      </c>
      <c r="G275" s="131">
        <v>2000</v>
      </c>
      <c r="H275" s="132">
        <f>Tablo29[[#This Row],[GÜN
TEK]]*Tablo29[[#This Row],[TUTAR]]</f>
        <v>0</v>
      </c>
      <c r="I275" s="132">
        <f>Tablo29[[#This Row],[TOPLAM]]*0.2</f>
        <v>0</v>
      </c>
      <c r="J275" s="132">
        <f>SUM(Tablo29[[#This Row],[TOPLAM]:[0,20%]])</f>
        <v>0</v>
      </c>
      <c r="K275" s="132">
        <f>Tablo29[[#This Row],[TOPLAM]]*0.1</f>
        <v>0</v>
      </c>
      <c r="L275" s="132">
        <f>Tablo29[[#This Row],[TOPLAM]]+Tablo29[[#This Row],[0,20%]]-Tablo29[[#This Row],[0,10%]]</f>
        <v>0</v>
      </c>
    </row>
    <row r="276" spans="1:12" hidden="1" x14ac:dyDescent="0.25">
      <c r="A276" s="130" t="s">
        <v>227</v>
      </c>
      <c r="B276" s="130" t="s">
        <v>457</v>
      </c>
      <c r="C276" s="130" t="s">
        <v>458</v>
      </c>
      <c r="E276" s="130" t="s">
        <v>47</v>
      </c>
      <c r="F276" s="130">
        <v>52</v>
      </c>
      <c r="G276" s="131">
        <v>1500</v>
      </c>
      <c r="H276" s="132">
        <f>Tablo29[[#This Row],[GÜN
TEK]]*Tablo29[[#This Row],[TUTAR]]</f>
        <v>78000</v>
      </c>
      <c r="I276" s="132">
        <f>Tablo29[[#This Row],[TOPLAM]]*0.2</f>
        <v>15600</v>
      </c>
      <c r="J276" s="132">
        <f>SUM(Tablo29[[#This Row],[TOPLAM]:[0,20%]])</f>
        <v>93600</v>
      </c>
      <c r="K276" s="132">
        <f>Tablo29[[#This Row],[TOPLAM]]*0.1</f>
        <v>7800</v>
      </c>
      <c r="L276" s="132">
        <f>Tablo29[[#This Row],[TOPLAM]]+Tablo29[[#This Row],[0,20%]]-Tablo29[[#This Row],[0,10%]]</f>
        <v>85800</v>
      </c>
    </row>
    <row r="277" spans="1:12" x14ac:dyDescent="0.25">
      <c r="A277" s="130" t="s">
        <v>227</v>
      </c>
      <c r="B277" s="130" t="s">
        <v>518</v>
      </c>
      <c r="C277" s="130" t="s">
        <v>7</v>
      </c>
      <c r="E277" s="130" t="s">
        <v>47</v>
      </c>
      <c r="F277" s="130">
        <v>44</v>
      </c>
      <c r="G277" s="131">
        <v>1500</v>
      </c>
      <c r="H277" s="132">
        <f>Tablo29[[#This Row],[GÜN
TEK]]*Tablo29[[#This Row],[TUTAR]]</f>
        <v>66000</v>
      </c>
      <c r="I277" s="132">
        <f>Tablo29[[#This Row],[TOPLAM]]*0.2</f>
        <v>13200</v>
      </c>
      <c r="J277" s="132">
        <f>SUM(Tablo29[[#This Row],[TOPLAM]:[0,20%]])</f>
        <v>79200</v>
      </c>
      <c r="K277" s="132">
        <f>Tablo29[[#This Row],[TOPLAM]]*0.1</f>
        <v>6600</v>
      </c>
      <c r="L277" s="132">
        <f>Tablo29[[#This Row],[TOPLAM]]+Tablo29[[#This Row],[0,20%]]-Tablo29[[#This Row],[0,10%]]</f>
        <v>72600</v>
      </c>
    </row>
    <row r="278" spans="1:12" x14ac:dyDescent="0.25">
      <c r="A278" s="130" t="s">
        <v>227</v>
      </c>
      <c r="B278" s="130" t="s">
        <v>551</v>
      </c>
      <c r="C278" s="130" t="s">
        <v>7</v>
      </c>
      <c r="E278" s="130" t="s">
        <v>47</v>
      </c>
      <c r="G278" s="308">
        <v>1500</v>
      </c>
      <c r="H278" s="132">
        <f>Tablo29[[#This Row],[GÜN
TEK]]*Tablo29[[#This Row],[TUTAR]]</f>
        <v>0</v>
      </c>
      <c r="I278" s="132">
        <f>Tablo29[[#This Row],[TOPLAM]]*0.2</f>
        <v>0</v>
      </c>
      <c r="J278" s="132">
        <f>SUM(Tablo29[[#This Row],[TOPLAM]:[0,20%]])</f>
        <v>0</v>
      </c>
      <c r="K278" s="132">
        <f>Tablo29[[#This Row],[TOPLAM]]*0.1</f>
        <v>0</v>
      </c>
      <c r="L278" s="132">
        <f>Tablo29[[#This Row],[TOPLAM]]+Tablo29[[#This Row],[0,20%]]-Tablo29[[#This Row],[0,10%]]</f>
        <v>0</v>
      </c>
    </row>
    <row r="279" spans="1:12" ht="13.2" customHeight="1" x14ac:dyDescent="0.25">
      <c r="A279" s="130" t="s">
        <v>227</v>
      </c>
      <c r="B279" s="130" t="s">
        <v>567</v>
      </c>
      <c r="C279" s="130" t="s">
        <v>7</v>
      </c>
      <c r="E279" s="130" t="s">
        <v>47</v>
      </c>
      <c r="F279" s="130">
        <v>3</v>
      </c>
      <c r="G279" s="308">
        <v>1800</v>
      </c>
      <c r="H279" s="132">
        <f>Tablo29[[#This Row],[GÜN
TEK]]*Tablo29[[#This Row],[TUTAR]]</f>
        <v>5400</v>
      </c>
      <c r="I279" s="132">
        <f>Tablo29[[#This Row],[TOPLAM]]*0.2</f>
        <v>1080</v>
      </c>
      <c r="J279" s="132">
        <f>SUM(Tablo29[[#This Row],[TOPLAM]:[0,20%]])</f>
        <v>6480</v>
      </c>
      <c r="K279" s="132">
        <f>Tablo29[[#This Row],[TOPLAM]]*0.1</f>
        <v>540</v>
      </c>
      <c r="L279" s="132">
        <f>Tablo29[[#This Row],[TOPLAM]]+Tablo29[[#This Row],[0,20%]]-Tablo29[[#This Row],[0,10%]]</f>
        <v>5940</v>
      </c>
    </row>
    <row r="280" spans="1:12" x14ac:dyDescent="0.25">
      <c r="A280" s="130" t="s">
        <v>227</v>
      </c>
      <c r="B280" s="130" t="s">
        <v>566</v>
      </c>
      <c r="C280" s="130" t="s">
        <v>7</v>
      </c>
      <c r="E280" s="130" t="s">
        <v>47</v>
      </c>
      <c r="G280" s="131">
        <v>1500</v>
      </c>
      <c r="H280" s="132">
        <f>Tablo29[[#This Row],[GÜN
TEK]]*Tablo29[[#This Row],[TUTAR]]</f>
        <v>0</v>
      </c>
      <c r="I280" s="132">
        <f>Tablo29[[#This Row],[TOPLAM]]*0.2</f>
        <v>0</v>
      </c>
      <c r="J280" s="132">
        <f>SUM(Tablo29[[#This Row],[TOPLAM]:[0,20%]])</f>
        <v>0</v>
      </c>
      <c r="K280" s="132">
        <f>Tablo29[[#This Row],[TOPLAM]]*0.1</f>
        <v>0</v>
      </c>
      <c r="L280" s="132">
        <f>Tablo29[[#This Row],[TOPLAM]]+Tablo29[[#This Row],[0,20%]]-Tablo29[[#This Row],[0,10%]]</f>
        <v>0</v>
      </c>
    </row>
    <row r="281" spans="1:12" ht="15" hidden="1" thickTop="1" thickBot="1" x14ac:dyDescent="0.3">
      <c r="H281" s="133">
        <f>SUBTOTAL(109,H252:H280)</f>
        <v>202500</v>
      </c>
      <c r="I281" s="133">
        <f t="shared" ref="I281:L281" si="11">SUBTOTAL(109,I252:I280)</f>
        <v>40500</v>
      </c>
      <c r="J281" s="133">
        <f t="shared" si="11"/>
        <v>243000</v>
      </c>
      <c r="K281" s="133">
        <f t="shared" si="11"/>
        <v>20250</v>
      </c>
      <c r="L281" s="133">
        <f t="shared" si="11"/>
        <v>222750</v>
      </c>
    </row>
    <row r="283" spans="1:12" s="138" customFormat="1" ht="37.950000000000003" customHeight="1" thickBot="1" x14ac:dyDescent="0.35">
      <c r="A283" s="160" t="s">
        <v>202</v>
      </c>
      <c r="B283" s="160" t="s">
        <v>327</v>
      </c>
      <c r="C283" s="160" t="s">
        <v>0</v>
      </c>
      <c r="D283" s="160" t="s">
        <v>1</v>
      </c>
      <c r="E283" s="160" t="s">
        <v>326</v>
      </c>
      <c r="F283" s="161" t="s">
        <v>328</v>
      </c>
      <c r="G283" s="162" t="s">
        <v>2</v>
      </c>
      <c r="H283" s="162" t="s">
        <v>3</v>
      </c>
      <c r="I283" s="162" t="s">
        <v>229</v>
      </c>
      <c r="J283" s="162" t="s">
        <v>4</v>
      </c>
      <c r="K283" s="162" t="s">
        <v>228</v>
      </c>
      <c r="L283" s="162" t="s">
        <v>5</v>
      </c>
    </row>
    <row r="284" spans="1:12" x14ac:dyDescent="0.25">
      <c r="A284" s="130" t="s">
        <v>156</v>
      </c>
      <c r="B284" s="130" t="s">
        <v>459</v>
      </c>
      <c r="C284" s="130" t="s">
        <v>167</v>
      </c>
      <c r="D284" s="130" t="s">
        <v>463</v>
      </c>
      <c r="E284" s="130" t="s">
        <v>230</v>
      </c>
      <c r="F284" s="130">
        <v>21</v>
      </c>
      <c r="G284" s="131">
        <v>2750</v>
      </c>
      <c r="H284" s="132">
        <f>Tablo30[[#This Row],[GÜN
TEK]]*Tablo30[[#This Row],[TUTAR]]</f>
        <v>57750</v>
      </c>
      <c r="I284" s="132">
        <f>Tablo30[[#This Row],[TOPLAM]]*0.2</f>
        <v>11550</v>
      </c>
      <c r="J284" s="132">
        <f>SUM(Tablo30[[#This Row],[TOPLAM]:[0,20%]])</f>
        <v>69300</v>
      </c>
      <c r="K284" s="132">
        <f>Tablo30[[#This Row],[TOPLAM]]*0.1</f>
        <v>5775</v>
      </c>
      <c r="L284" s="132">
        <f>Tablo30[[#This Row],[TOPLAM]]+Tablo30[[#This Row],[0,20%]]-Tablo30[[#This Row],[0,10%]]</f>
        <v>63525</v>
      </c>
    </row>
    <row r="285" spans="1:12" x14ac:dyDescent="0.25">
      <c r="A285" s="130" t="s">
        <v>156</v>
      </c>
      <c r="B285" s="130" t="s">
        <v>459</v>
      </c>
      <c r="C285" s="130" t="s">
        <v>167</v>
      </c>
      <c r="D285" s="130" t="s">
        <v>463</v>
      </c>
      <c r="E285" s="130" t="s">
        <v>231</v>
      </c>
      <c r="F285" s="130">
        <v>18</v>
      </c>
      <c r="G285" s="131">
        <v>2750</v>
      </c>
      <c r="H285" s="132">
        <f>Tablo30[[#This Row],[GÜN
TEK]]*Tablo30[[#This Row],[TUTAR]]</f>
        <v>49500</v>
      </c>
      <c r="I285" s="132">
        <f>Tablo30[[#This Row],[TOPLAM]]*0.2</f>
        <v>9900</v>
      </c>
      <c r="J285" s="132">
        <f>SUM(Tablo30[[#This Row],[TOPLAM]:[0,20%]])</f>
        <v>59400</v>
      </c>
      <c r="K285" s="132">
        <f>Tablo30[[#This Row],[TOPLAM]]*0.1</f>
        <v>4950</v>
      </c>
      <c r="L285" s="132">
        <f>Tablo30[[#This Row],[TOPLAM]]+Tablo30[[#This Row],[0,20%]]-Tablo30[[#This Row],[0,10%]]</f>
        <v>54450</v>
      </c>
    </row>
    <row r="286" spans="1:12" x14ac:dyDescent="0.25">
      <c r="A286" s="130" t="s">
        <v>156</v>
      </c>
      <c r="B286" s="130" t="s">
        <v>459</v>
      </c>
      <c r="C286" s="130" t="s">
        <v>167</v>
      </c>
      <c r="D286" s="130" t="s">
        <v>463</v>
      </c>
      <c r="E286" s="130" t="s">
        <v>158</v>
      </c>
      <c r="F286" s="130">
        <v>3</v>
      </c>
      <c r="G286" s="131">
        <v>1700</v>
      </c>
      <c r="H286" s="132">
        <f>Tablo30[[#This Row],[GÜN
TEK]]*Tablo30[[#This Row],[TUTAR]]</f>
        <v>5100</v>
      </c>
      <c r="I286" s="132">
        <f>Tablo30[[#This Row],[TOPLAM]]*0.2</f>
        <v>1020</v>
      </c>
      <c r="J286" s="132">
        <f>SUM(Tablo30[[#This Row],[TOPLAM]:[0,20%]])</f>
        <v>6120</v>
      </c>
      <c r="K286" s="132">
        <f>Tablo30[[#This Row],[TOPLAM]]*0.1</f>
        <v>510</v>
      </c>
      <c r="L286" s="132">
        <f>Tablo30[[#This Row],[TOPLAM]]+Tablo30[[#This Row],[0,20%]]-Tablo30[[#This Row],[0,10%]]</f>
        <v>5610</v>
      </c>
    </row>
    <row r="287" spans="1:12" x14ac:dyDescent="0.25">
      <c r="A287" s="130" t="s">
        <v>156</v>
      </c>
      <c r="B287" s="130" t="s">
        <v>459</v>
      </c>
      <c r="C287" s="130" t="s">
        <v>167</v>
      </c>
      <c r="D287" s="130" t="s">
        <v>463</v>
      </c>
      <c r="E287" s="130" t="s">
        <v>460</v>
      </c>
      <c r="F287" s="130">
        <v>12</v>
      </c>
      <c r="G287" s="131">
        <v>2000</v>
      </c>
      <c r="H287" s="132">
        <f>Tablo30[[#This Row],[GÜN
TEK]]*Tablo30[[#This Row],[TUTAR]]</f>
        <v>24000</v>
      </c>
      <c r="I287" s="132">
        <f>Tablo30[[#This Row],[TOPLAM]]*0.2</f>
        <v>4800</v>
      </c>
      <c r="J287" s="132">
        <f>SUM(Tablo30[[#This Row],[TOPLAM]:[0,20%]])</f>
        <v>28800</v>
      </c>
      <c r="K287" s="132">
        <f>Tablo30[[#This Row],[TOPLAM]]*0.1</f>
        <v>2400</v>
      </c>
      <c r="L287" s="132">
        <f>Tablo30[[#This Row],[TOPLAM]]+Tablo30[[#This Row],[0,20%]]-Tablo30[[#This Row],[0,10%]]</f>
        <v>26400</v>
      </c>
    </row>
    <row r="288" spans="1:12" x14ac:dyDescent="0.25">
      <c r="A288" s="130" t="s">
        <v>156</v>
      </c>
      <c r="B288" s="130" t="s">
        <v>461</v>
      </c>
      <c r="C288" s="130" t="s">
        <v>293</v>
      </c>
      <c r="D288" s="130" t="s">
        <v>462</v>
      </c>
      <c r="E288" s="130" t="s">
        <v>38</v>
      </c>
      <c r="F288" s="130">
        <v>21</v>
      </c>
      <c r="G288" s="131">
        <v>1800</v>
      </c>
      <c r="H288" s="132">
        <f>Tablo30[[#This Row],[GÜN
TEK]]*Tablo30[[#This Row],[TUTAR]]</f>
        <v>37800</v>
      </c>
      <c r="I288" s="132">
        <f>Tablo30[[#This Row],[TOPLAM]]*0.2</f>
        <v>7560</v>
      </c>
      <c r="J288" s="132">
        <f>SUM(Tablo30[[#This Row],[TOPLAM]:[0,20%]])</f>
        <v>45360</v>
      </c>
      <c r="K288" s="132">
        <f>Tablo30[[#This Row],[TOPLAM]]*0.1</f>
        <v>3780</v>
      </c>
      <c r="L288" s="132">
        <f>Tablo30[[#This Row],[TOPLAM]]+Tablo30[[#This Row],[0,20%]]-Tablo30[[#This Row],[0,10%]]</f>
        <v>41580</v>
      </c>
    </row>
    <row r="289" spans="1:12" x14ac:dyDescent="0.25">
      <c r="A289" s="130" t="s">
        <v>156</v>
      </c>
      <c r="B289" s="130" t="s">
        <v>464</v>
      </c>
      <c r="C289" s="130" t="s">
        <v>530</v>
      </c>
      <c r="D289" s="130" t="s">
        <v>465</v>
      </c>
      <c r="E289" s="130" t="s">
        <v>38</v>
      </c>
      <c r="F289" s="130">
        <v>18</v>
      </c>
      <c r="G289" s="131">
        <v>1800</v>
      </c>
      <c r="H289" s="132">
        <f>Tablo30[[#This Row],[GÜN
TEK]]*Tablo30[[#This Row],[TUTAR]]</f>
        <v>32400</v>
      </c>
      <c r="I289" s="132">
        <f>Tablo30[[#This Row],[TOPLAM]]*0.2</f>
        <v>6480</v>
      </c>
      <c r="J289" s="132">
        <f>SUM(Tablo30[[#This Row],[TOPLAM]:[0,20%]])</f>
        <v>38880</v>
      </c>
      <c r="K289" s="132">
        <f>Tablo30[[#This Row],[TOPLAM]]*0.1</f>
        <v>3240</v>
      </c>
      <c r="L289" s="132">
        <f>Tablo30[[#This Row],[TOPLAM]]+Tablo30[[#This Row],[0,20%]]-Tablo30[[#This Row],[0,10%]]</f>
        <v>35640</v>
      </c>
    </row>
    <row r="290" spans="1:12" x14ac:dyDescent="0.25">
      <c r="A290" s="130" t="s">
        <v>156</v>
      </c>
      <c r="B290" s="130" t="s">
        <v>466</v>
      </c>
      <c r="C290" s="130" t="s">
        <v>531</v>
      </c>
      <c r="D290" s="130" t="s">
        <v>509</v>
      </c>
      <c r="E290" s="130" t="s">
        <v>28</v>
      </c>
      <c r="F290" s="130">
        <v>38.5</v>
      </c>
      <c r="G290" s="131">
        <v>2000</v>
      </c>
      <c r="H290" s="132">
        <f>Tablo30[[#This Row],[GÜN
TEK]]*Tablo30[[#This Row],[TUTAR]]</f>
        <v>77000</v>
      </c>
      <c r="I290" s="132">
        <f>Tablo30[[#This Row],[TOPLAM]]*0.2</f>
        <v>15400</v>
      </c>
      <c r="J290" s="132">
        <f>SUM(Tablo30[[#This Row],[TOPLAM]:[0,20%]])</f>
        <v>92400</v>
      </c>
      <c r="K290" s="132">
        <f>Tablo30[[#This Row],[TOPLAM]]*0.1</f>
        <v>7700</v>
      </c>
      <c r="L290" s="132">
        <f>Tablo30[[#This Row],[TOPLAM]]+Tablo30[[#This Row],[0,20%]]-Tablo30[[#This Row],[0,10%]]</f>
        <v>84700</v>
      </c>
    </row>
    <row r="291" spans="1:12" x14ac:dyDescent="0.25">
      <c r="A291" s="130" t="s">
        <v>156</v>
      </c>
      <c r="B291" s="130" t="s">
        <v>466</v>
      </c>
      <c r="C291" s="130" t="s">
        <v>531</v>
      </c>
      <c r="D291" s="130" t="s">
        <v>510</v>
      </c>
      <c r="E291" s="130" t="s">
        <v>467</v>
      </c>
      <c r="F291" s="130">
        <v>7</v>
      </c>
      <c r="G291" s="131">
        <v>1160</v>
      </c>
      <c r="H291" s="132">
        <f>Tablo30[[#This Row],[GÜN
TEK]]*Tablo30[[#This Row],[TUTAR]]</f>
        <v>8120</v>
      </c>
      <c r="I291" s="132">
        <f>Tablo30[[#This Row],[TOPLAM]]*0.2</f>
        <v>1624</v>
      </c>
      <c r="J291" s="132">
        <f>SUM(Tablo30[[#This Row],[TOPLAM]:[0,20%]])</f>
        <v>9744</v>
      </c>
      <c r="K291" s="132">
        <f>Tablo30[[#This Row],[TOPLAM]]*0.1</f>
        <v>812</v>
      </c>
      <c r="L291" s="132">
        <f>Tablo30[[#This Row],[TOPLAM]]+Tablo30[[#This Row],[0,20%]]-Tablo30[[#This Row],[0,10%]]</f>
        <v>8932</v>
      </c>
    </row>
    <row r="292" spans="1:12" x14ac:dyDescent="0.25">
      <c r="A292" s="130" t="s">
        <v>156</v>
      </c>
      <c r="B292" s="130" t="s">
        <v>466</v>
      </c>
      <c r="C292" s="130" t="s">
        <v>531</v>
      </c>
      <c r="D292" s="130" t="s">
        <v>511</v>
      </c>
      <c r="E292" s="130" t="s">
        <v>468</v>
      </c>
      <c r="F292" s="130">
        <v>4</v>
      </c>
      <c r="G292" s="131">
        <v>1300</v>
      </c>
      <c r="H292" s="132">
        <f>Tablo30[[#This Row],[GÜN
TEK]]*Tablo30[[#This Row],[TUTAR]]</f>
        <v>5200</v>
      </c>
      <c r="I292" s="132">
        <f>Tablo30[[#This Row],[TOPLAM]]*0.2</f>
        <v>1040</v>
      </c>
      <c r="J292" s="132">
        <f>SUM(Tablo30[[#This Row],[TOPLAM]:[0,20%]])</f>
        <v>6240</v>
      </c>
      <c r="K292" s="132">
        <f>Tablo30[[#This Row],[TOPLAM]]*0.1</f>
        <v>520</v>
      </c>
      <c r="L292" s="132">
        <f>Tablo30[[#This Row],[TOPLAM]]+Tablo30[[#This Row],[0,20%]]-Tablo30[[#This Row],[0,10%]]</f>
        <v>5720</v>
      </c>
    </row>
    <row r="293" spans="1:12" x14ac:dyDescent="0.25">
      <c r="A293" s="130" t="s">
        <v>156</v>
      </c>
      <c r="B293" s="130" t="s">
        <v>140</v>
      </c>
      <c r="C293" s="130" t="s">
        <v>531</v>
      </c>
      <c r="D293" s="130" t="s">
        <v>512</v>
      </c>
      <c r="E293" s="130" t="s">
        <v>140</v>
      </c>
      <c r="F293" s="130">
        <v>3</v>
      </c>
      <c r="G293" s="131">
        <v>900</v>
      </c>
      <c r="H293" s="132">
        <f>Tablo30[[#This Row],[GÜN
TEK]]*Tablo30[[#This Row],[TUTAR]]</f>
        <v>2700</v>
      </c>
      <c r="I293" s="132">
        <f>Tablo30[[#This Row],[TOPLAM]]*0.2</f>
        <v>540</v>
      </c>
      <c r="J293" s="132">
        <f>SUM(Tablo30[[#This Row],[TOPLAM]:[0,20%]])</f>
        <v>3240</v>
      </c>
      <c r="K293" s="132">
        <f>Tablo30[[#This Row],[TOPLAM]]*0.1</f>
        <v>270</v>
      </c>
      <c r="L293" s="132">
        <f>Tablo30[[#This Row],[TOPLAM]]+Tablo30[[#This Row],[0,20%]]-Tablo30[[#This Row],[0,10%]]</f>
        <v>2970</v>
      </c>
    </row>
    <row r="294" spans="1:12" x14ac:dyDescent="0.25">
      <c r="B294" s="130" t="s">
        <v>513</v>
      </c>
      <c r="C294" s="130" t="s">
        <v>86</v>
      </c>
      <c r="E294" s="130" t="s">
        <v>514</v>
      </c>
      <c r="G294" s="131">
        <v>1160</v>
      </c>
      <c r="H294" s="132">
        <f>Tablo30[[#This Row],[GÜN
TEK]]*Tablo30[[#This Row],[TUTAR]]</f>
        <v>0</v>
      </c>
      <c r="I294" s="132">
        <f>Tablo30[[#This Row],[TOPLAM]]*0.2</f>
        <v>0</v>
      </c>
      <c r="J294" s="132">
        <f>SUM(Tablo30[[#This Row],[TOPLAM]:[0,20%]])</f>
        <v>0</v>
      </c>
      <c r="K294" s="132">
        <f>Tablo30[[#This Row],[TOPLAM]]*0.1</f>
        <v>0</v>
      </c>
      <c r="L294" s="132">
        <f>Tablo30[[#This Row],[TOPLAM]]+Tablo30[[#This Row],[0,20%]]-Tablo30[[#This Row],[0,10%]]</f>
        <v>0</v>
      </c>
    </row>
    <row r="295" spans="1:12" x14ac:dyDescent="0.25">
      <c r="A295" s="130" t="s">
        <v>156</v>
      </c>
      <c r="B295" s="130" t="s">
        <v>318</v>
      </c>
      <c r="C295" s="130" t="s">
        <v>483</v>
      </c>
      <c r="E295" s="130" t="s">
        <v>38</v>
      </c>
      <c r="F295" s="130">
        <v>20</v>
      </c>
      <c r="G295" s="131">
        <v>2700</v>
      </c>
      <c r="H295" s="132">
        <f>Tablo30[[#This Row],[GÜN
TEK]]*Tablo30[[#This Row],[TUTAR]]</f>
        <v>54000</v>
      </c>
      <c r="I295" s="132">
        <f>Tablo30[[#This Row],[TOPLAM]]*0.2</f>
        <v>10800</v>
      </c>
      <c r="J295" s="132">
        <f>SUM(Tablo30[[#This Row],[TOPLAM]:[0,20%]])</f>
        <v>64800</v>
      </c>
      <c r="K295" s="132">
        <f>Tablo30[[#This Row],[TOPLAM]]*0.1</f>
        <v>5400</v>
      </c>
      <c r="L295" s="132">
        <f>Tablo30[[#This Row],[TOPLAM]]+Tablo30[[#This Row],[0,20%]]-Tablo30[[#This Row],[0,10%]]</f>
        <v>59400</v>
      </c>
    </row>
    <row r="296" spans="1:12" x14ac:dyDescent="0.25">
      <c r="A296" s="130" t="s">
        <v>156</v>
      </c>
      <c r="B296" s="130" t="s">
        <v>469</v>
      </c>
      <c r="C296" s="130" t="s">
        <v>470</v>
      </c>
      <c r="E296" s="130" t="s">
        <v>38</v>
      </c>
      <c r="F296" s="130">
        <v>21</v>
      </c>
      <c r="G296" s="131">
        <v>2800</v>
      </c>
      <c r="H296" s="132">
        <f>Tablo30[[#This Row],[GÜN
TEK]]*Tablo30[[#This Row],[TUTAR]]</f>
        <v>58800</v>
      </c>
      <c r="I296" s="132">
        <f>Tablo30[[#This Row],[TOPLAM]]*0.2</f>
        <v>11760</v>
      </c>
      <c r="J296" s="132">
        <f>SUM(Tablo30[[#This Row],[TOPLAM]:[0,20%]])</f>
        <v>70560</v>
      </c>
      <c r="K296" s="132">
        <f>Tablo30[[#This Row],[TOPLAM]]*0.1</f>
        <v>5880</v>
      </c>
      <c r="L296" s="132">
        <f>Tablo30[[#This Row],[TOPLAM]]+Tablo30[[#This Row],[0,20%]]-Tablo30[[#This Row],[0,10%]]</f>
        <v>64680</v>
      </c>
    </row>
    <row r="297" spans="1:12" x14ac:dyDescent="0.25">
      <c r="A297" s="130" t="s">
        <v>156</v>
      </c>
      <c r="B297" s="130" t="s">
        <v>472</v>
      </c>
      <c r="C297" s="130" t="s">
        <v>46</v>
      </c>
      <c r="E297" s="130" t="s">
        <v>38</v>
      </c>
      <c r="F297" s="130">
        <v>18</v>
      </c>
      <c r="G297" s="131">
        <v>1800</v>
      </c>
      <c r="H297" s="132">
        <f>Tablo30[[#This Row],[GÜN
TEK]]*Tablo30[[#This Row],[TUTAR]]</f>
        <v>32400</v>
      </c>
      <c r="I297" s="132">
        <f>Tablo30[[#This Row],[TOPLAM]]*0.2</f>
        <v>6480</v>
      </c>
      <c r="J297" s="132">
        <f>SUM(Tablo30[[#This Row],[TOPLAM]:[0,20%]])</f>
        <v>38880</v>
      </c>
      <c r="K297" s="132">
        <f>Tablo30[[#This Row],[TOPLAM]]*0.1</f>
        <v>3240</v>
      </c>
      <c r="L297" s="132">
        <f>Tablo30[[#This Row],[TOPLAM]]+Tablo30[[#This Row],[0,20%]]-Tablo30[[#This Row],[0,10%]]</f>
        <v>35640</v>
      </c>
    </row>
    <row r="298" spans="1:12" x14ac:dyDescent="0.25">
      <c r="A298" s="130" t="s">
        <v>156</v>
      </c>
      <c r="B298" s="130" t="s">
        <v>473</v>
      </c>
      <c r="C298" s="130" t="s">
        <v>470</v>
      </c>
      <c r="E298" s="130" t="s">
        <v>10</v>
      </c>
      <c r="G298" s="131">
        <v>1700</v>
      </c>
      <c r="H298" s="132">
        <f>Tablo30[[#This Row],[GÜN
TEK]]*Tablo30[[#This Row],[TUTAR]]</f>
        <v>0</v>
      </c>
      <c r="I298" s="132">
        <f>Tablo30[[#This Row],[TOPLAM]]*0.2</f>
        <v>0</v>
      </c>
      <c r="J298" s="132">
        <f>SUM(Tablo30[[#This Row],[TOPLAM]:[0,20%]])</f>
        <v>0</v>
      </c>
      <c r="K298" s="132">
        <f>Tablo30[[#This Row],[TOPLAM]]*0.1</f>
        <v>0</v>
      </c>
      <c r="L298" s="132">
        <f>Tablo30[[#This Row],[TOPLAM]]+Tablo30[[#This Row],[0,20%]]-Tablo30[[#This Row],[0,10%]]</f>
        <v>0</v>
      </c>
    </row>
    <row r="299" spans="1:12" x14ac:dyDescent="0.25">
      <c r="A299" s="130" t="s">
        <v>156</v>
      </c>
      <c r="B299" s="130" t="s">
        <v>474</v>
      </c>
      <c r="C299" s="130" t="s">
        <v>16</v>
      </c>
      <c r="E299" s="130" t="s">
        <v>10</v>
      </c>
      <c r="G299" s="131">
        <v>900</v>
      </c>
      <c r="H299" s="132">
        <f>Tablo30[[#This Row],[GÜN
TEK]]*Tablo30[[#This Row],[TUTAR]]</f>
        <v>0</v>
      </c>
      <c r="I299" s="132">
        <f>Tablo30[[#This Row],[TOPLAM]]*0.2</f>
        <v>0</v>
      </c>
      <c r="J299" s="132">
        <f>SUM(Tablo30[[#This Row],[TOPLAM]:[0,20%]])</f>
        <v>0</v>
      </c>
      <c r="K299" s="132">
        <f>Tablo30[[#This Row],[TOPLAM]]*0.1</f>
        <v>0</v>
      </c>
      <c r="L299" s="132">
        <f>Tablo30[[#This Row],[TOPLAM]]+Tablo30[[#This Row],[0,20%]]-Tablo30[[#This Row],[0,10%]]</f>
        <v>0</v>
      </c>
    </row>
    <row r="300" spans="1:12" x14ac:dyDescent="0.25">
      <c r="A300" s="130" t="s">
        <v>156</v>
      </c>
      <c r="B300" s="130" t="s">
        <v>471</v>
      </c>
      <c r="C300" s="130" t="s">
        <v>163</v>
      </c>
      <c r="E300" s="130" t="s">
        <v>38</v>
      </c>
      <c r="F300" s="130">
        <v>22</v>
      </c>
      <c r="G300" s="131">
        <v>900</v>
      </c>
      <c r="H300" s="132">
        <f>Tablo30[[#This Row],[GÜN
TEK]]*Tablo30[[#This Row],[TUTAR]]</f>
        <v>19800</v>
      </c>
      <c r="I300" s="132">
        <f>Tablo30[[#This Row],[TOPLAM]]*0.2</f>
        <v>3960</v>
      </c>
      <c r="J300" s="132">
        <f>SUM(Tablo30[[#This Row],[TOPLAM]:[0,20%]])</f>
        <v>23760</v>
      </c>
      <c r="K300" s="132">
        <f>Tablo30[[#This Row],[TOPLAM]]*0.1</f>
        <v>1980</v>
      </c>
      <c r="L300" s="132">
        <f>Tablo30[[#This Row],[TOPLAM]]+Tablo30[[#This Row],[0,20%]]-Tablo30[[#This Row],[0,10%]]</f>
        <v>21780</v>
      </c>
    </row>
    <row r="301" spans="1:12" ht="14.4" thickBot="1" x14ac:dyDescent="0.3">
      <c r="A301" s="130" t="s">
        <v>156</v>
      </c>
      <c r="B301" s="130" t="s">
        <v>596</v>
      </c>
      <c r="C301" s="130" t="s">
        <v>114</v>
      </c>
      <c r="E301" s="130" t="s">
        <v>597</v>
      </c>
      <c r="F301" s="130">
        <v>1</v>
      </c>
      <c r="G301" s="308">
        <v>1400</v>
      </c>
      <c r="H301" s="132">
        <f>Tablo30[[#This Row],[GÜN
TEK]]*Tablo30[[#This Row],[TUTAR]]</f>
        <v>1400</v>
      </c>
      <c r="I301" s="132">
        <f>Tablo30[[#This Row],[TOPLAM]]*0.2</f>
        <v>280</v>
      </c>
      <c r="J301" s="132">
        <f>SUM(Tablo30[[#This Row],[TOPLAM]:[0,20%]])</f>
        <v>1680</v>
      </c>
      <c r="K301" s="132">
        <f>Tablo30[[#This Row],[TOPLAM]]*0.1</f>
        <v>140</v>
      </c>
      <c r="L301" s="132">
        <f>Tablo30[[#This Row],[TOPLAM]]+Tablo30[[#This Row],[0,20%]]-Tablo30[[#This Row],[0,10%]]</f>
        <v>1540</v>
      </c>
    </row>
    <row r="302" spans="1:12" ht="15" thickTop="1" thickBot="1" x14ac:dyDescent="0.3">
      <c r="H302" s="133">
        <f>SUBTOTAL(109,H284:H301)</f>
        <v>465970</v>
      </c>
      <c r="I302" s="133">
        <f t="shared" ref="I302:L302" si="12">SUBTOTAL(109,I284:I301)</f>
        <v>93194</v>
      </c>
      <c r="J302" s="133">
        <f t="shared" si="12"/>
        <v>559164</v>
      </c>
      <c r="K302" s="133">
        <f t="shared" si="12"/>
        <v>46597</v>
      </c>
      <c r="L302" s="133">
        <f t="shared" si="12"/>
        <v>512567</v>
      </c>
    </row>
    <row r="303" spans="1:12" ht="14.4" thickTop="1" x14ac:dyDescent="0.25"/>
    <row r="304" spans="1:12" s="138" customFormat="1" ht="37.950000000000003" customHeight="1" thickBot="1" x14ac:dyDescent="0.35">
      <c r="A304" s="163" t="s">
        <v>202</v>
      </c>
      <c r="B304" s="163" t="s">
        <v>327</v>
      </c>
      <c r="C304" s="163" t="s">
        <v>0</v>
      </c>
      <c r="D304" s="163" t="s">
        <v>1</v>
      </c>
      <c r="E304" s="163" t="s">
        <v>326</v>
      </c>
      <c r="F304" s="164" t="s">
        <v>328</v>
      </c>
      <c r="G304" s="165" t="s">
        <v>2</v>
      </c>
      <c r="H304" s="165" t="s">
        <v>3</v>
      </c>
      <c r="I304" s="165" t="s">
        <v>229</v>
      </c>
      <c r="J304" s="165" t="s">
        <v>4</v>
      </c>
      <c r="K304" s="165" t="s">
        <v>228</v>
      </c>
      <c r="L304" s="165" t="s">
        <v>5</v>
      </c>
    </row>
    <row r="305" spans="1:12" x14ac:dyDescent="0.25">
      <c r="A305" s="130" t="s">
        <v>475</v>
      </c>
      <c r="B305" s="130" t="s">
        <v>143</v>
      </c>
      <c r="C305" s="130" t="s">
        <v>13</v>
      </c>
      <c r="E305" s="130" t="s">
        <v>77</v>
      </c>
      <c r="F305" s="130">
        <v>85</v>
      </c>
      <c r="G305" s="131">
        <v>1200</v>
      </c>
      <c r="H305" s="132">
        <f>Tablo33[[#This Row],[GÜN
TEK]]*Tablo33[[#This Row],[TUTAR]]</f>
        <v>102000</v>
      </c>
      <c r="I305" s="132">
        <f>Tablo33[[#This Row],[TOPLAM]]*0.2</f>
        <v>20400</v>
      </c>
      <c r="J305" s="132">
        <f>SUM(Tablo33[[#This Row],[TOPLAM]:[0,20%]])</f>
        <v>122400</v>
      </c>
      <c r="K305" s="132">
        <f>Tablo33[[#This Row],[TOPLAM]]*0.1</f>
        <v>10200</v>
      </c>
      <c r="L305" s="132">
        <f>Tablo33[[#This Row],[TOPLAM]]+Tablo33[[#This Row],[0,20%]]-Tablo33[[#This Row],[0,10%]]</f>
        <v>112200</v>
      </c>
    </row>
    <row r="306" spans="1:12" x14ac:dyDescent="0.25">
      <c r="A306" s="130" t="s">
        <v>475</v>
      </c>
      <c r="B306" s="130" t="s">
        <v>476</v>
      </c>
      <c r="C306" s="130" t="s">
        <v>13</v>
      </c>
      <c r="E306" s="130" t="s">
        <v>47</v>
      </c>
      <c r="F306" s="130">
        <v>27</v>
      </c>
      <c r="G306" s="131">
        <v>900</v>
      </c>
      <c r="H306" s="132">
        <f>Tablo33[[#This Row],[GÜN
TEK]]*Tablo33[[#This Row],[TUTAR]]</f>
        <v>24300</v>
      </c>
      <c r="I306" s="132">
        <f>Tablo33[[#This Row],[TOPLAM]]*0.2</f>
        <v>4860</v>
      </c>
      <c r="J306" s="132">
        <f>SUM(Tablo33[[#This Row],[TOPLAM]:[0,20%]])</f>
        <v>29160</v>
      </c>
      <c r="K306" s="132">
        <f>Tablo33[[#This Row],[TOPLAM]]*0.1</f>
        <v>2430</v>
      </c>
      <c r="L306" s="132">
        <f>Tablo33[[#This Row],[TOPLAM]]+Tablo33[[#This Row],[0,20%]]-Tablo33[[#This Row],[0,10%]]</f>
        <v>26730</v>
      </c>
    </row>
    <row r="307" spans="1:12" x14ac:dyDescent="0.25">
      <c r="A307" s="130" t="s">
        <v>475</v>
      </c>
      <c r="B307" s="130" t="s">
        <v>153</v>
      </c>
      <c r="C307" s="130" t="s">
        <v>477</v>
      </c>
      <c r="E307" s="130" t="s">
        <v>77</v>
      </c>
      <c r="F307" s="130">
        <v>1</v>
      </c>
      <c r="G307" s="131">
        <v>1300</v>
      </c>
      <c r="H307" s="132">
        <f>Tablo33[[#This Row],[GÜN
TEK]]*Tablo33[[#This Row],[TUTAR]]</f>
        <v>1300</v>
      </c>
      <c r="I307" s="132">
        <f>Tablo33[[#This Row],[TOPLAM]]*0.2</f>
        <v>260</v>
      </c>
      <c r="J307" s="132">
        <f>SUM(Tablo33[[#This Row],[TOPLAM]:[0,20%]])</f>
        <v>1560</v>
      </c>
      <c r="K307" s="132">
        <f>Tablo33[[#This Row],[TOPLAM]]*0.1</f>
        <v>130</v>
      </c>
      <c r="L307" s="132">
        <f>Tablo33[[#This Row],[TOPLAM]]+Tablo33[[#This Row],[0,20%]]-Tablo33[[#This Row],[0,10%]]</f>
        <v>1430</v>
      </c>
    </row>
    <row r="308" spans="1:12" x14ac:dyDescent="0.25">
      <c r="A308" s="130" t="s">
        <v>475</v>
      </c>
      <c r="B308" s="130" t="s">
        <v>153</v>
      </c>
      <c r="C308" s="130" t="s">
        <v>477</v>
      </c>
      <c r="E308" s="130" t="s">
        <v>47</v>
      </c>
      <c r="F308" s="130">
        <v>1</v>
      </c>
      <c r="G308" s="131">
        <v>1000</v>
      </c>
      <c r="H308" s="132">
        <f>Tablo33[[#This Row],[GÜN
TEK]]*Tablo33[[#This Row],[TUTAR]]</f>
        <v>1000</v>
      </c>
      <c r="I308" s="132">
        <f>Tablo33[[#This Row],[TOPLAM]]*0.2</f>
        <v>200</v>
      </c>
      <c r="J308" s="132">
        <f>SUM(Tablo33[[#This Row],[TOPLAM]:[0,20%]])</f>
        <v>1200</v>
      </c>
      <c r="K308" s="132">
        <f>Tablo33[[#This Row],[TOPLAM]]*0.1</f>
        <v>100</v>
      </c>
      <c r="L308" s="132">
        <f>Tablo33[[#This Row],[TOPLAM]]+Tablo33[[#This Row],[0,20%]]-Tablo33[[#This Row],[0,10%]]</f>
        <v>1100</v>
      </c>
    </row>
    <row r="309" spans="1:12" x14ac:dyDescent="0.25">
      <c r="A309" s="130" t="s">
        <v>475</v>
      </c>
      <c r="B309" s="130" t="s">
        <v>265</v>
      </c>
      <c r="C309" s="130" t="s">
        <v>477</v>
      </c>
      <c r="E309" s="130" t="s">
        <v>77</v>
      </c>
      <c r="F309" s="130">
        <v>78</v>
      </c>
      <c r="G309" s="131">
        <v>1180</v>
      </c>
      <c r="H309" s="132">
        <f>Tablo33[[#This Row],[GÜN
TEK]]*Tablo33[[#This Row],[TUTAR]]</f>
        <v>92040</v>
      </c>
      <c r="I309" s="132">
        <f>Tablo33[[#This Row],[TOPLAM]]*0.2</f>
        <v>18408</v>
      </c>
      <c r="J309" s="132">
        <f>SUM(Tablo33[[#This Row],[TOPLAM]:[0,20%]])</f>
        <v>110448</v>
      </c>
      <c r="K309" s="132">
        <f>Tablo33[[#This Row],[TOPLAM]]*0.1</f>
        <v>9204</v>
      </c>
      <c r="L309" s="132">
        <f>Tablo33[[#This Row],[TOPLAM]]+Tablo33[[#This Row],[0,20%]]-Tablo33[[#This Row],[0,10%]]</f>
        <v>101244</v>
      </c>
    </row>
    <row r="310" spans="1:12" x14ac:dyDescent="0.25">
      <c r="A310" s="130" t="s">
        <v>475</v>
      </c>
      <c r="B310" s="130" t="s">
        <v>265</v>
      </c>
      <c r="C310" s="130" t="s">
        <v>477</v>
      </c>
      <c r="E310" s="130" t="s">
        <v>47</v>
      </c>
      <c r="F310" s="130">
        <v>28</v>
      </c>
      <c r="G310" s="131">
        <v>875</v>
      </c>
      <c r="H310" s="132">
        <f>Tablo33[[#This Row],[GÜN
TEK]]*Tablo33[[#This Row],[TUTAR]]</f>
        <v>24500</v>
      </c>
      <c r="I310" s="132">
        <f>Tablo33[[#This Row],[TOPLAM]]*0.2</f>
        <v>4900</v>
      </c>
      <c r="J310" s="132">
        <f>SUM(Tablo33[[#This Row],[TOPLAM]:[0,20%]])</f>
        <v>29400</v>
      </c>
      <c r="K310" s="132">
        <f>Tablo33[[#This Row],[TOPLAM]]*0.1</f>
        <v>2450</v>
      </c>
      <c r="L310" s="132">
        <f>Tablo33[[#This Row],[TOPLAM]]+Tablo33[[#This Row],[0,20%]]-Tablo33[[#This Row],[0,10%]]</f>
        <v>26950</v>
      </c>
    </row>
    <row r="311" spans="1:12" x14ac:dyDescent="0.25">
      <c r="A311" s="130" t="s">
        <v>475</v>
      </c>
      <c r="B311" s="130" t="s">
        <v>265</v>
      </c>
      <c r="C311" s="130" t="s">
        <v>324</v>
      </c>
      <c r="E311" s="130" t="s">
        <v>77</v>
      </c>
      <c r="F311" s="130">
        <v>67</v>
      </c>
      <c r="G311" s="131">
        <v>1180</v>
      </c>
      <c r="H311" s="132">
        <f>Tablo33[[#This Row],[GÜN
TEK]]*Tablo33[[#This Row],[TUTAR]]</f>
        <v>79060</v>
      </c>
      <c r="I311" s="132">
        <f>Tablo33[[#This Row],[TOPLAM]]*0.2</f>
        <v>15812</v>
      </c>
      <c r="J311" s="132">
        <f>SUM(Tablo33[[#This Row],[TOPLAM]:[0,20%]])</f>
        <v>94872</v>
      </c>
      <c r="K311" s="132">
        <f>Tablo33[[#This Row],[TOPLAM]]*0.1</f>
        <v>7906</v>
      </c>
      <c r="L311" s="132">
        <f>Tablo33[[#This Row],[TOPLAM]]+Tablo33[[#This Row],[0,20%]]-Tablo33[[#This Row],[0,10%]]</f>
        <v>86966</v>
      </c>
    </row>
    <row r="312" spans="1:12" x14ac:dyDescent="0.25">
      <c r="A312" s="130" t="s">
        <v>475</v>
      </c>
      <c r="B312" s="130" t="s">
        <v>265</v>
      </c>
      <c r="C312" s="130" t="s">
        <v>324</v>
      </c>
      <c r="E312" s="130" t="s">
        <v>47</v>
      </c>
      <c r="F312" s="130">
        <v>29</v>
      </c>
      <c r="G312" s="131">
        <v>875</v>
      </c>
      <c r="H312" s="132">
        <f>Tablo33[[#This Row],[GÜN
TEK]]*Tablo33[[#This Row],[TUTAR]]</f>
        <v>25375</v>
      </c>
      <c r="I312" s="132">
        <f>Tablo33[[#This Row],[TOPLAM]]*0.2</f>
        <v>5075</v>
      </c>
      <c r="J312" s="132">
        <f>SUM(Tablo33[[#This Row],[TOPLAM]:[0,20%]])</f>
        <v>30450</v>
      </c>
      <c r="K312" s="132">
        <f>Tablo33[[#This Row],[TOPLAM]]*0.1</f>
        <v>2537.5</v>
      </c>
      <c r="L312" s="132">
        <f>Tablo33[[#This Row],[TOPLAM]]+Tablo33[[#This Row],[0,20%]]-Tablo33[[#This Row],[0,10%]]</f>
        <v>27912.5</v>
      </c>
    </row>
    <row r="313" spans="1:12" ht="14.4" thickBot="1" x14ac:dyDescent="0.3"/>
    <row r="314" spans="1:12" ht="16.2" thickTop="1" thickBot="1" x14ac:dyDescent="0.3">
      <c r="H314" s="166">
        <f>SUBTOTAL(109,H305:H313)</f>
        <v>349575</v>
      </c>
      <c r="I314" s="166">
        <f>Tablo33[[#This Row],[TOPLAM]]*0.2</f>
        <v>69915</v>
      </c>
      <c r="J314" s="166">
        <f>SUM(Tablo33[[#This Row],[TOPLAM]:[0,20%]])</f>
        <v>419490</v>
      </c>
      <c r="K314" s="166">
        <f>Tablo33[[#This Row],[TOPLAM]]*0.1</f>
        <v>34957.5</v>
      </c>
      <c r="L314" s="166">
        <f>Tablo33[[#This Row],[TOPLAM]]+Tablo33[[#This Row],[0,20%]]-Tablo33[[#This Row],[0,10%]]</f>
        <v>384532.5</v>
      </c>
    </row>
    <row r="315" spans="1:12" ht="14.4" thickTop="1" x14ac:dyDescent="0.25"/>
    <row r="316" spans="1:12" s="138" customFormat="1" ht="37.950000000000003" customHeight="1" thickBot="1" x14ac:dyDescent="0.35">
      <c r="A316" s="135" t="s">
        <v>202</v>
      </c>
      <c r="B316" s="135" t="s">
        <v>327</v>
      </c>
      <c r="C316" s="135" t="s">
        <v>0</v>
      </c>
      <c r="D316" s="135" t="s">
        <v>1</v>
      </c>
      <c r="E316" s="135" t="s">
        <v>326</v>
      </c>
      <c r="F316" s="136" t="s">
        <v>328</v>
      </c>
      <c r="G316" s="137" t="s">
        <v>2</v>
      </c>
      <c r="H316" s="137" t="s">
        <v>3</v>
      </c>
      <c r="I316" s="137" t="s">
        <v>229</v>
      </c>
      <c r="J316" s="137" t="s">
        <v>4</v>
      </c>
      <c r="K316" s="137" t="s">
        <v>228</v>
      </c>
      <c r="L316" s="137" t="s">
        <v>5</v>
      </c>
    </row>
    <row r="317" spans="1:12" x14ac:dyDescent="0.25">
      <c r="A317" s="130" t="s">
        <v>478</v>
      </c>
      <c r="B317" s="130" t="s">
        <v>479</v>
      </c>
      <c r="C317" s="130" t="s">
        <v>148</v>
      </c>
      <c r="E317" s="130" t="s">
        <v>38</v>
      </c>
      <c r="F317" s="130">
        <v>19</v>
      </c>
      <c r="G317" s="131">
        <v>1800</v>
      </c>
      <c r="H317" s="132">
        <f>Tablo34[[#This Row],[GÜN
TEK]]*Tablo34[[#This Row],[TUTAR]]</f>
        <v>34200</v>
      </c>
      <c r="I317" s="132">
        <f>Tablo34[[#This Row],[TOPLAM]]*0.2</f>
        <v>6840</v>
      </c>
      <c r="J317" s="132">
        <f>SUM(Tablo34[[#This Row],[TOPLAM]:[0,20%]])</f>
        <v>41040</v>
      </c>
      <c r="L317" s="132">
        <f>Tablo34[[#This Row],[TOPLAM]]+Tablo34[[#This Row],[0,20%]]-Tablo34[[#This Row],[0,10%]]</f>
        <v>41040</v>
      </c>
    </row>
    <row r="318" spans="1:12" x14ac:dyDescent="0.25">
      <c r="A318" s="130" t="s">
        <v>478</v>
      </c>
      <c r="B318" s="130" t="s">
        <v>480</v>
      </c>
      <c r="C318" s="130" t="s">
        <v>150</v>
      </c>
      <c r="E318" s="130" t="s">
        <v>38</v>
      </c>
      <c r="F318" s="130">
        <v>14.5</v>
      </c>
      <c r="G318" s="131">
        <v>1800</v>
      </c>
      <c r="H318" s="132">
        <f>Tablo34[[#This Row],[GÜN
TEK]]*Tablo34[[#This Row],[TUTAR]]</f>
        <v>26100</v>
      </c>
      <c r="J318" s="132">
        <f>SUM(Tablo34[[#This Row],[TOPLAM]:[0,20%]])</f>
        <v>26100</v>
      </c>
      <c r="L318" s="132">
        <f>Tablo34[[#This Row],[TOPLAM]]+Tablo34[[#This Row],[0,20%]]-Tablo34[[#This Row],[0,10%]]</f>
        <v>26100</v>
      </c>
    </row>
    <row r="319" spans="1:12" ht="14.4" thickBot="1" x14ac:dyDescent="0.3">
      <c r="A319" s="130" t="s">
        <v>478</v>
      </c>
      <c r="B319" s="130" t="s">
        <v>480</v>
      </c>
      <c r="C319" s="130" t="s">
        <v>114</v>
      </c>
      <c r="E319" s="130" t="s">
        <v>38</v>
      </c>
      <c r="F319" s="130">
        <v>3.5</v>
      </c>
      <c r="G319" s="131">
        <v>1800</v>
      </c>
      <c r="H319" s="132">
        <f>Tablo34[[#This Row],[GÜN
TEK]]*Tablo34[[#This Row],[TUTAR]]</f>
        <v>6300</v>
      </c>
      <c r="I319" s="132">
        <f>Tablo34[[#This Row],[TOPLAM]]*0.2</f>
        <v>1260</v>
      </c>
      <c r="J319" s="132">
        <f>SUM(Tablo34[[#This Row],[TOPLAM]:[0,20%]])</f>
        <v>7560</v>
      </c>
      <c r="K319" s="132">
        <f>Tablo34[[#This Row],[TOPLAM]]*0.1</f>
        <v>630</v>
      </c>
      <c r="L319" s="132">
        <f>Tablo34[[#This Row],[TOPLAM]]+Tablo34[[#This Row],[0,20%]]-Tablo34[[#This Row],[0,10%]]</f>
        <v>6930</v>
      </c>
    </row>
    <row r="320" spans="1:12" ht="15" thickTop="1" thickBot="1" x14ac:dyDescent="0.3">
      <c r="H320" s="133">
        <f>SUBTOTAL(109,H317:H319)</f>
        <v>66600</v>
      </c>
      <c r="I320" s="133">
        <f t="shared" ref="I320:L320" si="13">SUBTOTAL(109,I317:I319)</f>
        <v>8100</v>
      </c>
      <c r="J320" s="133">
        <f t="shared" si="13"/>
        <v>74700</v>
      </c>
      <c r="K320" s="133">
        <f t="shared" si="13"/>
        <v>630</v>
      </c>
      <c r="L320" s="133">
        <f t="shared" si="13"/>
        <v>74070</v>
      </c>
    </row>
    <row r="321" spans="8:12" ht="14.4" thickTop="1" x14ac:dyDescent="0.25"/>
    <row r="324" spans="8:12" x14ac:dyDescent="0.25">
      <c r="H324" s="132">
        <f>H320+H314+H302+H281+H249+H223+H204+H146+H102+H76+H66+H58</f>
        <v>2913215</v>
      </c>
      <c r="I324" s="132">
        <f>I320+I314+I302+I281+I249+I223+I204+I146+I102+I76+I66+I58</f>
        <v>577423</v>
      </c>
      <c r="J324" s="132">
        <f>J320+J314+J302+J281+J249+J223+J204+J146+J102+J76+J66+J58</f>
        <v>3490638</v>
      </c>
      <c r="K324" s="132">
        <f>K320+K314+K302+K281+K249+K223+K204+K146+K102+K76+K66+K58</f>
        <v>267023.5</v>
      </c>
      <c r="L324" s="132">
        <f>L320+L314+L302+L281+L249+L223+L204+L146+L102+L76+L66+L58</f>
        <v>3223614.5</v>
      </c>
    </row>
  </sheetData>
  <phoneticPr fontId="30" type="noConversion"/>
  <pageMargins left="0" right="0" top="0.19685039370078741" bottom="0" header="0.31496062992125984" footer="0.31496062992125984"/>
  <pageSetup paperSize="9" scale="71" fitToHeight="0" orientation="landscape" horizontalDpi="0" verticalDpi="0" r:id="rId1"/>
  <legacy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94"/>
  <sheetViews>
    <sheetView topLeftCell="A102" zoomScale="85" zoomScaleNormal="85" workbookViewId="0">
      <selection activeCell="D154" sqref="D154"/>
    </sheetView>
  </sheetViews>
  <sheetFormatPr defaultColWidth="18.5546875" defaultRowHeight="17.399999999999999" x14ac:dyDescent="0.3"/>
  <cols>
    <col min="1" max="1" width="35.33203125" style="39" customWidth="1"/>
    <col min="2" max="3" width="18.5546875" style="39"/>
    <col min="4" max="4" width="25.33203125" style="39" customWidth="1"/>
    <col min="5" max="5" width="18.5546875" style="39"/>
    <col min="6" max="6" width="18.5546875" style="40"/>
    <col min="7" max="7" width="21.6640625" style="40" bestFit="1" customWidth="1"/>
    <col min="8" max="8" width="19.88671875" style="40" bestFit="1" customWidth="1"/>
    <col min="9" max="9" width="20.5546875" style="40" customWidth="1"/>
    <col min="10" max="10" width="20.6640625" style="40" customWidth="1"/>
    <col min="11" max="11" width="21.6640625" style="40" bestFit="1" customWidth="1"/>
    <col min="12" max="12" width="12" style="39" customWidth="1"/>
    <col min="13" max="13" width="18.5546875" style="39"/>
    <col min="14" max="14" width="7.5546875" style="39" customWidth="1"/>
    <col min="15" max="15" width="20.6640625" style="40" customWidth="1"/>
    <col min="16" max="16" width="16.33203125" style="39" customWidth="1"/>
    <col min="17" max="17" width="26.6640625" style="40" customWidth="1"/>
    <col min="18" max="18" width="11.33203125" style="39" customWidth="1"/>
    <col min="19" max="24" width="18.5546875" style="39"/>
    <col min="25" max="25" width="24.5546875" style="39" customWidth="1"/>
    <col min="26" max="16384" width="18.5546875" style="39"/>
  </cols>
  <sheetData>
    <row r="1" spans="1:17" s="2" customFormat="1" ht="31.5" customHeight="1" thickBot="1" x14ac:dyDescent="0.35">
      <c r="A1" s="35" t="s">
        <v>609</v>
      </c>
      <c r="B1" s="35" t="s">
        <v>0</v>
      </c>
      <c r="C1" s="35" t="s">
        <v>1</v>
      </c>
      <c r="D1" s="35" t="s">
        <v>9</v>
      </c>
      <c r="E1" s="35"/>
      <c r="F1" s="36" t="s">
        <v>2</v>
      </c>
      <c r="G1" s="36" t="s">
        <v>3</v>
      </c>
      <c r="H1" s="36">
        <v>0.2</v>
      </c>
      <c r="I1" s="36" t="s">
        <v>4</v>
      </c>
      <c r="J1" s="36">
        <v>0.1</v>
      </c>
      <c r="K1" s="36" t="s">
        <v>5</v>
      </c>
      <c r="O1" s="21"/>
      <c r="Q1" s="21"/>
    </row>
    <row r="2" spans="1:17" ht="18.600000000000001" thickTop="1" thickBot="1" x14ac:dyDescent="0.35">
      <c r="A2" s="37" t="s">
        <v>33</v>
      </c>
      <c r="B2" s="37" t="s">
        <v>37</v>
      </c>
      <c r="C2" s="37" t="s">
        <v>34</v>
      </c>
      <c r="D2" s="37" t="s">
        <v>38</v>
      </c>
      <c r="E2" s="37">
        <v>14</v>
      </c>
      <c r="F2" s="167">
        <v>3750</v>
      </c>
      <c r="G2" s="167">
        <f>E2*F2</f>
        <v>52500</v>
      </c>
      <c r="H2" s="167">
        <f>G2*0.2</f>
        <v>10500</v>
      </c>
      <c r="I2" s="167">
        <f>SUM(G2:H2)</f>
        <v>63000</v>
      </c>
      <c r="J2" s="167">
        <f>H2/2</f>
        <v>5250</v>
      </c>
      <c r="K2" s="167">
        <f>G2+H2-J2</f>
        <v>57750</v>
      </c>
      <c r="O2" s="168"/>
      <c r="Q2" s="168"/>
    </row>
    <row r="3" spans="1:17" ht="18.600000000000001" thickTop="1" thickBot="1" x14ac:dyDescent="0.35">
      <c r="A3" s="37" t="s">
        <v>35</v>
      </c>
      <c r="B3" s="37" t="s">
        <v>37</v>
      </c>
      <c r="C3" s="37" t="s">
        <v>524</v>
      </c>
      <c r="D3" s="37" t="s">
        <v>38</v>
      </c>
      <c r="E3" s="37">
        <v>14</v>
      </c>
      <c r="F3" s="167">
        <v>3750</v>
      </c>
      <c r="G3" s="167">
        <f t="shared" ref="G3:G18" si="0">E3*F3</f>
        <v>52500</v>
      </c>
      <c r="H3" s="167">
        <f>G3*0.2</f>
        <v>10500</v>
      </c>
      <c r="I3" s="167">
        <f t="shared" ref="I3:I18" si="1">SUM(G3:H3)</f>
        <v>63000</v>
      </c>
      <c r="J3" s="167">
        <f t="shared" ref="J3:J18" si="2">H3/2</f>
        <v>5250</v>
      </c>
      <c r="K3" s="167">
        <f t="shared" ref="K3:K18" si="3">G3+H3-J3</f>
        <v>57750</v>
      </c>
      <c r="O3" s="168"/>
      <c r="Q3" s="168"/>
    </row>
    <row r="4" spans="1:17" ht="18.600000000000001" thickTop="1" thickBot="1" x14ac:dyDescent="0.35">
      <c r="A4" s="37" t="s">
        <v>315</v>
      </c>
      <c r="B4" s="37" t="s">
        <v>37</v>
      </c>
      <c r="C4" s="37" t="s">
        <v>36</v>
      </c>
      <c r="D4" s="37" t="s">
        <v>38</v>
      </c>
      <c r="E4" s="37">
        <v>18</v>
      </c>
      <c r="F4" s="167">
        <v>5100</v>
      </c>
      <c r="G4" s="167">
        <f t="shared" si="0"/>
        <v>91800</v>
      </c>
      <c r="H4" s="167">
        <f t="shared" ref="H4:H19" si="4">G4*0.2</f>
        <v>18360</v>
      </c>
      <c r="I4" s="167"/>
      <c r="J4" s="167">
        <f t="shared" si="2"/>
        <v>9180</v>
      </c>
      <c r="K4" s="167">
        <f t="shared" si="3"/>
        <v>100980</v>
      </c>
      <c r="O4" s="168"/>
      <c r="Q4" s="168"/>
    </row>
    <row r="5" spans="1:17" ht="18.600000000000001" hidden="1" thickTop="1" thickBot="1" x14ac:dyDescent="0.35">
      <c r="A5" s="37" t="s">
        <v>11</v>
      </c>
      <c r="B5" s="37" t="s">
        <v>37</v>
      </c>
      <c r="C5" s="37" t="s">
        <v>70</v>
      </c>
      <c r="D5" s="37" t="s">
        <v>225</v>
      </c>
      <c r="E5" s="37"/>
      <c r="F5" s="167"/>
      <c r="G5" s="167">
        <f t="shared" ref="G5" si="5">E5*F5</f>
        <v>0</v>
      </c>
      <c r="H5" s="167">
        <f t="shared" ref="H5" si="6">G5*0.2</f>
        <v>0</v>
      </c>
      <c r="I5" s="167"/>
      <c r="J5" s="167">
        <f t="shared" si="2"/>
        <v>0</v>
      </c>
      <c r="K5" s="167">
        <f t="shared" ref="K5" si="7">G5+H5-J5</f>
        <v>0</v>
      </c>
      <c r="O5" s="168"/>
      <c r="Q5" s="168"/>
    </row>
    <row r="6" spans="1:17" ht="18.600000000000001" hidden="1" thickTop="1" thickBot="1" x14ac:dyDescent="0.35">
      <c r="A6" s="37" t="s">
        <v>253</v>
      </c>
      <c r="B6" s="37" t="s">
        <v>37</v>
      </c>
      <c r="C6" s="37" t="s">
        <v>250</v>
      </c>
      <c r="D6" s="37" t="s">
        <v>10</v>
      </c>
      <c r="E6" s="37"/>
      <c r="F6" s="167"/>
      <c r="G6" s="167">
        <f t="shared" ref="G6" si="8">E6*F6</f>
        <v>0</v>
      </c>
      <c r="H6" s="167">
        <f t="shared" si="4"/>
        <v>0</v>
      </c>
      <c r="I6" s="167"/>
      <c r="J6" s="167">
        <f t="shared" si="2"/>
        <v>0</v>
      </c>
      <c r="K6" s="167">
        <f t="shared" ref="K6" si="9">G6+H6-J6</f>
        <v>0</v>
      </c>
      <c r="O6" s="168"/>
      <c r="Q6" s="168"/>
    </row>
    <row r="7" spans="1:17" ht="18.600000000000001" thickTop="1" thickBot="1" x14ac:dyDescent="0.35">
      <c r="A7" s="37" t="s">
        <v>40</v>
      </c>
      <c r="B7" s="37" t="s">
        <v>37</v>
      </c>
      <c r="C7" s="37" t="s">
        <v>41</v>
      </c>
      <c r="D7" s="37" t="s">
        <v>38</v>
      </c>
      <c r="E7" s="37">
        <v>14</v>
      </c>
      <c r="F7" s="167">
        <v>5100</v>
      </c>
      <c r="G7" s="167">
        <f t="shared" si="0"/>
        <v>71400</v>
      </c>
      <c r="H7" s="167">
        <f t="shared" si="4"/>
        <v>14280</v>
      </c>
      <c r="I7" s="167">
        <f t="shared" si="1"/>
        <v>85680</v>
      </c>
      <c r="J7" s="167">
        <f t="shared" si="2"/>
        <v>7140</v>
      </c>
      <c r="K7" s="167">
        <f t="shared" si="3"/>
        <v>78540</v>
      </c>
      <c r="O7" s="168"/>
      <c r="Q7" s="168"/>
    </row>
    <row r="8" spans="1:17" ht="18.600000000000001" hidden="1" thickTop="1" thickBot="1" x14ac:dyDescent="0.35">
      <c r="A8" s="37" t="s">
        <v>40</v>
      </c>
      <c r="B8" s="37" t="s">
        <v>37</v>
      </c>
      <c r="C8" s="37" t="s">
        <v>43</v>
      </c>
      <c r="D8" s="37" t="s">
        <v>10</v>
      </c>
      <c r="E8" s="37"/>
      <c r="F8" s="167"/>
      <c r="G8" s="167">
        <f t="shared" ref="G8" si="10">E8*F8</f>
        <v>0</v>
      </c>
      <c r="H8" s="167">
        <f t="shared" si="4"/>
        <v>0</v>
      </c>
      <c r="I8" s="167">
        <f t="shared" ref="I8" si="11">SUM(G8:H8)</f>
        <v>0</v>
      </c>
      <c r="J8" s="167">
        <f t="shared" si="2"/>
        <v>0</v>
      </c>
      <c r="K8" s="167">
        <f t="shared" ref="K8" si="12">G8+H8-J8</f>
        <v>0</v>
      </c>
      <c r="O8" s="168"/>
      <c r="Q8" s="168"/>
    </row>
    <row r="9" spans="1:17" ht="18.600000000000001" thickTop="1" thickBot="1" x14ac:dyDescent="0.35">
      <c r="A9" s="37" t="s">
        <v>42</v>
      </c>
      <c r="B9" s="37" t="s">
        <v>37</v>
      </c>
      <c r="C9" s="37" t="s">
        <v>43</v>
      </c>
      <c r="D9" s="37" t="s">
        <v>38</v>
      </c>
      <c r="E9" s="37">
        <v>13</v>
      </c>
      <c r="F9" s="167">
        <v>5100</v>
      </c>
      <c r="G9" s="167">
        <f t="shared" si="0"/>
        <v>66300</v>
      </c>
      <c r="H9" s="167">
        <f t="shared" si="4"/>
        <v>13260</v>
      </c>
      <c r="I9" s="167">
        <f t="shared" si="1"/>
        <v>79560</v>
      </c>
      <c r="J9" s="167">
        <f t="shared" si="2"/>
        <v>6630</v>
      </c>
      <c r="K9" s="167">
        <f t="shared" si="3"/>
        <v>72930</v>
      </c>
      <c r="O9" s="168"/>
      <c r="Q9" s="168"/>
    </row>
    <row r="10" spans="1:17" ht="18.600000000000001" thickTop="1" thickBot="1" x14ac:dyDescent="0.35">
      <c r="A10" s="37" t="s">
        <v>542</v>
      </c>
      <c r="B10" s="37" t="s">
        <v>37</v>
      </c>
      <c r="C10" s="37" t="s">
        <v>162</v>
      </c>
      <c r="D10" s="37" t="s">
        <v>38</v>
      </c>
      <c r="E10" s="37">
        <v>13</v>
      </c>
      <c r="F10" s="167">
        <v>3750</v>
      </c>
      <c r="G10" s="167">
        <f t="shared" si="0"/>
        <v>48750</v>
      </c>
      <c r="H10" s="167">
        <f t="shared" si="4"/>
        <v>9750</v>
      </c>
      <c r="I10" s="167">
        <f t="shared" si="1"/>
        <v>58500</v>
      </c>
      <c r="J10" s="167">
        <f t="shared" si="2"/>
        <v>4875</v>
      </c>
      <c r="K10" s="167">
        <f t="shared" si="3"/>
        <v>53625</v>
      </c>
      <c r="O10" s="168"/>
      <c r="Q10" s="168"/>
    </row>
    <row r="11" spans="1:17" ht="18.600000000000001" hidden="1" thickTop="1" thickBot="1" x14ac:dyDescent="0.35">
      <c r="A11" s="37" t="s">
        <v>237</v>
      </c>
      <c r="B11" s="37" t="s">
        <v>37</v>
      </c>
      <c r="C11" s="37" t="s">
        <v>117</v>
      </c>
      <c r="D11" s="37" t="s">
        <v>236</v>
      </c>
      <c r="E11" s="37"/>
      <c r="F11" s="167"/>
      <c r="G11" s="167">
        <f t="shared" ref="G11" si="13">E11*F11</f>
        <v>0</v>
      </c>
      <c r="H11" s="167">
        <f t="shared" si="4"/>
        <v>0</v>
      </c>
      <c r="I11" s="167">
        <f t="shared" ref="I11" si="14">SUM(G11:H11)</f>
        <v>0</v>
      </c>
      <c r="J11" s="167">
        <f t="shared" si="2"/>
        <v>0</v>
      </c>
      <c r="K11" s="167">
        <f t="shared" ref="K11" si="15">G11+H11-J11</f>
        <v>0</v>
      </c>
      <c r="O11" s="168"/>
      <c r="Q11" s="168"/>
    </row>
    <row r="12" spans="1:17" ht="18.600000000000001" hidden="1" thickTop="1" thickBot="1" x14ac:dyDescent="0.35">
      <c r="A12" s="37" t="s">
        <v>44</v>
      </c>
      <c r="B12" s="37" t="s">
        <v>37</v>
      </c>
      <c r="C12" s="37" t="s">
        <v>45</v>
      </c>
      <c r="D12" s="37" t="s">
        <v>10</v>
      </c>
      <c r="E12" s="37"/>
      <c r="F12" s="167"/>
      <c r="G12" s="167">
        <f t="shared" si="0"/>
        <v>0</v>
      </c>
      <c r="H12" s="167">
        <f>G12*0.2</f>
        <v>0</v>
      </c>
      <c r="I12" s="167">
        <f t="shared" si="1"/>
        <v>0</v>
      </c>
      <c r="J12" s="167">
        <f t="shared" si="2"/>
        <v>0</v>
      </c>
      <c r="K12" s="167">
        <f t="shared" si="3"/>
        <v>0</v>
      </c>
      <c r="O12" s="168"/>
      <c r="Q12" s="168"/>
    </row>
    <row r="13" spans="1:17" ht="18.600000000000001" hidden="1" thickTop="1" thickBot="1" x14ac:dyDescent="0.35">
      <c r="A13" s="37" t="s">
        <v>44</v>
      </c>
      <c r="B13" s="37" t="s">
        <v>37</v>
      </c>
      <c r="C13" s="37" t="s">
        <v>36</v>
      </c>
      <c r="D13" s="37" t="s">
        <v>10</v>
      </c>
      <c r="E13" s="37"/>
      <c r="F13" s="167"/>
      <c r="G13" s="167">
        <f t="shared" si="0"/>
        <v>0</v>
      </c>
      <c r="H13" s="167">
        <f>G13*0.2</f>
        <v>0</v>
      </c>
      <c r="I13" s="167">
        <f t="shared" si="1"/>
        <v>0</v>
      </c>
      <c r="J13" s="167">
        <f t="shared" si="2"/>
        <v>0</v>
      </c>
      <c r="K13" s="167">
        <f t="shared" si="3"/>
        <v>0</v>
      </c>
      <c r="O13" s="168"/>
      <c r="Q13" s="168"/>
    </row>
    <row r="14" spans="1:17" ht="17.399999999999999" customHeight="1" thickTop="1" thickBot="1" x14ac:dyDescent="0.35">
      <c r="A14" s="37" t="s">
        <v>238</v>
      </c>
      <c r="B14" s="37" t="s">
        <v>37</v>
      </c>
      <c r="C14" s="37" t="s">
        <v>233</v>
      </c>
      <c r="D14" s="37" t="s">
        <v>38</v>
      </c>
      <c r="E14" s="37">
        <v>13</v>
      </c>
      <c r="F14" s="167">
        <v>3800</v>
      </c>
      <c r="G14" s="167">
        <f t="shared" si="0"/>
        <v>49400</v>
      </c>
      <c r="H14" s="167">
        <f t="shared" si="4"/>
        <v>9880</v>
      </c>
      <c r="I14" s="167">
        <f t="shared" si="1"/>
        <v>59280</v>
      </c>
      <c r="J14" s="167">
        <f t="shared" si="2"/>
        <v>4940</v>
      </c>
      <c r="K14" s="167">
        <f t="shared" si="3"/>
        <v>54340</v>
      </c>
      <c r="O14" s="168"/>
      <c r="Q14" s="168"/>
    </row>
    <row r="15" spans="1:17" s="88" customFormat="1" ht="17.399999999999999" hidden="1" customHeight="1" thickTop="1" thickBot="1" x14ac:dyDescent="0.35">
      <c r="A15" s="108" t="s">
        <v>221</v>
      </c>
      <c r="B15" s="108" t="s">
        <v>37</v>
      </c>
      <c r="C15" s="108" t="s">
        <v>117</v>
      </c>
      <c r="D15" s="108" t="s">
        <v>47</v>
      </c>
      <c r="E15" s="108"/>
      <c r="F15" s="109">
        <v>850</v>
      </c>
      <c r="G15" s="109">
        <f t="shared" si="0"/>
        <v>0</v>
      </c>
      <c r="H15" s="109">
        <f t="shared" si="4"/>
        <v>0</v>
      </c>
      <c r="I15" s="109">
        <f t="shared" si="1"/>
        <v>0</v>
      </c>
      <c r="J15" s="109">
        <f t="shared" si="2"/>
        <v>0</v>
      </c>
      <c r="K15" s="109">
        <f t="shared" si="3"/>
        <v>0</v>
      </c>
      <c r="O15" s="89"/>
      <c r="Q15" s="89"/>
    </row>
    <row r="16" spans="1:17" s="88" customFormat="1" ht="18.600000000000001" hidden="1" customHeight="1" thickTop="1" thickBot="1" x14ac:dyDescent="0.35">
      <c r="A16" s="108" t="s">
        <v>212</v>
      </c>
      <c r="B16" s="108" t="s">
        <v>37</v>
      </c>
      <c r="C16" s="108" t="s">
        <v>242</v>
      </c>
      <c r="D16" s="108" t="s">
        <v>28</v>
      </c>
      <c r="E16" s="108"/>
      <c r="F16" s="109"/>
      <c r="G16" s="109">
        <f t="shared" si="0"/>
        <v>0</v>
      </c>
      <c r="H16" s="109">
        <f t="shared" si="4"/>
        <v>0</v>
      </c>
      <c r="I16" s="109">
        <f t="shared" si="1"/>
        <v>0</v>
      </c>
      <c r="J16" s="109">
        <f t="shared" si="2"/>
        <v>0</v>
      </c>
      <c r="K16" s="109">
        <f t="shared" si="3"/>
        <v>0</v>
      </c>
      <c r="O16" s="89"/>
      <c r="Q16" s="89"/>
    </row>
    <row r="17" spans="1:20" s="88" customFormat="1" ht="18.600000000000001" hidden="1" thickTop="1" thickBot="1" x14ac:dyDescent="0.35">
      <c r="A17" s="108" t="s">
        <v>212</v>
      </c>
      <c r="B17" s="108" t="s">
        <v>37</v>
      </c>
      <c r="C17" s="108" t="s">
        <v>119</v>
      </c>
      <c r="D17" s="108" t="s">
        <v>28</v>
      </c>
      <c r="E17" s="108"/>
      <c r="F17" s="109">
        <v>850</v>
      </c>
      <c r="G17" s="109">
        <f t="shared" si="0"/>
        <v>0</v>
      </c>
      <c r="H17" s="109">
        <f t="shared" si="4"/>
        <v>0</v>
      </c>
      <c r="I17" s="109">
        <f t="shared" si="1"/>
        <v>0</v>
      </c>
      <c r="J17" s="109">
        <f t="shared" si="2"/>
        <v>0</v>
      </c>
      <c r="K17" s="109">
        <f t="shared" si="3"/>
        <v>0</v>
      </c>
      <c r="O17" s="89"/>
      <c r="Q17" s="89"/>
    </row>
    <row r="18" spans="1:20" s="88" customFormat="1" ht="18.600000000000001" hidden="1" thickTop="1" thickBot="1" x14ac:dyDescent="0.35">
      <c r="A18" s="42" t="s">
        <v>312</v>
      </c>
      <c r="B18" s="108" t="s">
        <v>37</v>
      </c>
      <c r="C18" s="108" t="s">
        <v>313</v>
      </c>
      <c r="D18" s="108" t="s">
        <v>28</v>
      </c>
      <c r="E18" s="108"/>
      <c r="F18" s="109">
        <v>1007</v>
      </c>
      <c r="G18" s="109">
        <f t="shared" si="0"/>
        <v>0</v>
      </c>
      <c r="H18" s="109">
        <f t="shared" si="4"/>
        <v>0</v>
      </c>
      <c r="I18" s="109">
        <f t="shared" si="1"/>
        <v>0</v>
      </c>
      <c r="J18" s="109">
        <f t="shared" si="2"/>
        <v>0</v>
      </c>
      <c r="K18" s="109">
        <f t="shared" si="3"/>
        <v>0</v>
      </c>
      <c r="O18" s="89"/>
      <c r="Q18" s="89"/>
    </row>
    <row r="19" spans="1:20" ht="18.600000000000001" hidden="1" thickTop="1" thickBot="1" x14ac:dyDescent="0.35">
      <c r="A19" s="42" t="s">
        <v>254</v>
      </c>
      <c r="B19" s="37" t="s">
        <v>37</v>
      </c>
      <c r="C19" s="37" t="s">
        <v>119</v>
      </c>
      <c r="D19" s="37" t="s">
        <v>28</v>
      </c>
      <c r="E19" s="37"/>
      <c r="F19" s="38">
        <v>624.66</v>
      </c>
      <c r="G19" s="38">
        <f t="shared" ref="G19" si="16">E19*F19</f>
        <v>0</v>
      </c>
      <c r="H19" s="38">
        <f t="shared" si="4"/>
        <v>0</v>
      </c>
      <c r="I19" s="38">
        <f t="shared" ref="I19" si="17">SUM(G19:H19)</f>
        <v>0</v>
      </c>
      <c r="J19" s="38"/>
      <c r="K19" s="38">
        <f t="shared" ref="K19" si="18">G19+H19-J19</f>
        <v>0</v>
      </c>
    </row>
    <row r="20" spans="1:20" ht="18.600000000000001" thickTop="1" thickBot="1" x14ac:dyDescent="0.35">
      <c r="A20" s="43"/>
      <c r="B20" s="43"/>
      <c r="C20" s="43">
        <v>32000</v>
      </c>
      <c r="D20" s="43"/>
      <c r="E20" s="43"/>
      <c r="F20" s="41"/>
      <c r="G20" s="38">
        <f>SUM(G2:G19)</f>
        <v>432650</v>
      </c>
      <c r="H20" s="38">
        <f>SUM(H2:H19)</f>
        <v>86530</v>
      </c>
      <c r="I20" s="38">
        <f>SUM(I2:I19)</f>
        <v>409020</v>
      </c>
      <c r="J20" s="38">
        <f>SUM(J2:J19)</f>
        <v>43265</v>
      </c>
      <c r="K20" s="38">
        <f>SUM(K2:K19)</f>
        <v>475915</v>
      </c>
    </row>
    <row r="21" spans="1:20" ht="18" thickTop="1" x14ac:dyDescent="0.3">
      <c r="A21" s="43"/>
      <c r="B21" s="43"/>
      <c r="C21" s="43"/>
      <c r="D21" s="43"/>
      <c r="E21" s="43"/>
      <c r="F21" s="41"/>
      <c r="G21" s="41"/>
      <c r="H21" s="41"/>
      <c r="I21" s="41"/>
      <c r="J21" s="41"/>
      <c r="K21" s="41"/>
    </row>
    <row r="23" spans="1:20" s="2" customFormat="1" ht="31.5" customHeight="1" thickBot="1" x14ac:dyDescent="0.35">
      <c r="A23" s="174" t="s">
        <v>610</v>
      </c>
      <c r="B23" s="174" t="s">
        <v>0</v>
      </c>
      <c r="C23" s="174" t="s">
        <v>1</v>
      </c>
      <c r="D23" s="174" t="s">
        <v>9</v>
      </c>
      <c r="E23" s="174"/>
      <c r="F23" s="175" t="s">
        <v>2</v>
      </c>
      <c r="G23" s="175" t="s">
        <v>3</v>
      </c>
      <c r="H23" s="175">
        <v>0.2</v>
      </c>
      <c r="I23" s="175" t="s">
        <v>4</v>
      </c>
      <c r="J23" s="175">
        <v>0.1</v>
      </c>
      <c r="K23" s="175" t="s">
        <v>5</v>
      </c>
      <c r="O23" s="21"/>
      <c r="P23" s="22"/>
      <c r="Q23" s="21"/>
      <c r="T23" s="23"/>
    </row>
    <row r="24" spans="1:20" s="88" customFormat="1" ht="21" customHeight="1" thickTop="1" thickBot="1" x14ac:dyDescent="0.35">
      <c r="A24" s="108" t="s">
        <v>17</v>
      </c>
      <c r="B24" s="108" t="s">
        <v>37</v>
      </c>
      <c r="C24" s="124" t="s">
        <v>34</v>
      </c>
      <c r="D24" s="108" t="s">
        <v>9</v>
      </c>
      <c r="E24" s="108">
        <v>19</v>
      </c>
      <c r="F24" s="109">
        <v>5000</v>
      </c>
      <c r="G24" s="109">
        <f t="shared" ref="G24" si="19">E24*F24</f>
        <v>95000</v>
      </c>
      <c r="H24" s="109">
        <f>G24*0.2</f>
        <v>19000</v>
      </c>
      <c r="I24" s="109">
        <f>SUM(G24:H24)</f>
        <v>114000</v>
      </c>
      <c r="J24" s="109">
        <f>G24*J23</f>
        <v>9500</v>
      </c>
      <c r="K24" s="109">
        <f>G24+H24-J24</f>
        <v>104500</v>
      </c>
      <c r="O24" s="89"/>
      <c r="P24" s="89"/>
      <c r="Q24" s="89"/>
      <c r="S24" s="98"/>
      <c r="T24" s="98"/>
    </row>
    <row r="25" spans="1:20" s="88" customFormat="1" ht="21" hidden="1" customHeight="1" thickTop="1" thickBot="1" x14ac:dyDescent="0.35">
      <c r="A25" s="108" t="s">
        <v>17</v>
      </c>
      <c r="B25" s="108" t="s">
        <v>37</v>
      </c>
      <c r="C25" s="124" t="s">
        <v>73</v>
      </c>
      <c r="D25" s="108" t="s">
        <v>9</v>
      </c>
      <c r="E25" s="108"/>
      <c r="F25" s="109"/>
      <c r="G25" s="109">
        <f t="shared" ref="G25" si="20">E25*F25</f>
        <v>0</v>
      </c>
      <c r="H25" s="109">
        <f t="shared" ref="H25:H38" si="21">G25*0.2</f>
        <v>0</v>
      </c>
      <c r="I25" s="109">
        <f>SUM(G25:H25)</f>
        <v>0</v>
      </c>
      <c r="J25" s="109">
        <f>G25*0.1</f>
        <v>0</v>
      </c>
      <c r="K25" s="109">
        <f t="shared" ref="K25:K36" si="22">G25+H25-J25</f>
        <v>0</v>
      </c>
      <c r="O25" s="89"/>
      <c r="P25" s="89"/>
      <c r="Q25" s="89"/>
      <c r="S25" s="98"/>
      <c r="T25" s="98"/>
    </row>
    <row r="26" spans="1:20" s="88" customFormat="1" ht="18.600000000000001" thickTop="1" thickBot="1" x14ac:dyDescent="0.35">
      <c r="A26" s="108" t="s">
        <v>610</v>
      </c>
      <c r="B26" s="108" t="s">
        <v>37</v>
      </c>
      <c r="C26" s="124" t="s">
        <v>43</v>
      </c>
      <c r="D26" s="108" t="s">
        <v>132</v>
      </c>
      <c r="E26" s="108">
        <v>19</v>
      </c>
      <c r="F26" s="109">
        <v>821.25</v>
      </c>
      <c r="G26" s="109">
        <f>E26*F26</f>
        <v>15603.75</v>
      </c>
      <c r="H26" s="109">
        <f t="shared" si="21"/>
        <v>3120.75</v>
      </c>
      <c r="I26" s="109">
        <f t="shared" ref="I26:I39" si="23">SUM(G26:H26)</f>
        <v>18724.5</v>
      </c>
      <c r="J26" s="109">
        <f>G26*0.1</f>
        <v>1560.375</v>
      </c>
      <c r="K26" s="109">
        <f t="shared" si="22"/>
        <v>17164.125</v>
      </c>
      <c r="O26" s="89"/>
      <c r="P26" s="89"/>
      <c r="Q26" s="89"/>
      <c r="S26" s="98"/>
      <c r="T26" s="98"/>
    </row>
    <row r="27" spans="1:20" s="88" customFormat="1" ht="18.600000000000001" thickTop="1" thickBot="1" x14ac:dyDescent="0.35">
      <c r="A27" s="108" t="s">
        <v>610</v>
      </c>
      <c r="B27" s="108" t="s">
        <v>37</v>
      </c>
      <c r="C27" s="123" t="s">
        <v>41</v>
      </c>
      <c r="D27" s="108" t="s">
        <v>262</v>
      </c>
      <c r="E27" s="108">
        <v>19</v>
      </c>
      <c r="F27" s="109">
        <v>821.25</v>
      </c>
      <c r="G27" s="109">
        <f t="shared" ref="G27:G37" si="24">E27*F27</f>
        <v>15603.75</v>
      </c>
      <c r="H27" s="109">
        <f t="shared" si="21"/>
        <v>3120.75</v>
      </c>
      <c r="I27" s="109">
        <f t="shared" si="23"/>
        <v>18724.5</v>
      </c>
      <c r="J27" s="109">
        <f>G27*0.1</f>
        <v>1560.375</v>
      </c>
      <c r="K27" s="109">
        <f t="shared" si="22"/>
        <v>17164.125</v>
      </c>
      <c r="O27" s="89"/>
      <c r="P27" s="89"/>
      <c r="Q27" s="89"/>
      <c r="S27" s="98"/>
      <c r="T27" s="98"/>
    </row>
    <row r="28" spans="1:20" s="88" customFormat="1" ht="18.600000000000001" thickTop="1" thickBot="1" x14ac:dyDescent="0.35">
      <c r="A28" s="108" t="s">
        <v>610</v>
      </c>
      <c r="B28" s="108" t="s">
        <v>37</v>
      </c>
      <c r="C28" s="123" t="s">
        <v>569</v>
      </c>
      <c r="D28" s="108" t="s">
        <v>278</v>
      </c>
      <c r="E28" s="108">
        <v>19</v>
      </c>
      <c r="F28" s="109">
        <v>821.25</v>
      </c>
      <c r="G28" s="109">
        <f t="shared" si="24"/>
        <v>15603.75</v>
      </c>
      <c r="H28" s="109">
        <f t="shared" si="21"/>
        <v>3120.75</v>
      </c>
      <c r="I28" s="109">
        <f t="shared" si="23"/>
        <v>18724.5</v>
      </c>
      <c r="J28" s="109">
        <f t="shared" ref="J28:J39" si="25">G28*0.1</f>
        <v>1560.375</v>
      </c>
      <c r="K28" s="109">
        <f t="shared" si="22"/>
        <v>17164.125</v>
      </c>
      <c r="O28" s="89"/>
      <c r="P28" s="89"/>
      <c r="Q28" s="89"/>
      <c r="S28" s="98"/>
      <c r="T28" s="98"/>
    </row>
    <row r="29" spans="1:20" s="88" customFormat="1" ht="18.600000000000001" thickTop="1" thickBot="1" x14ac:dyDescent="0.35">
      <c r="A29" s="108" t="s">
        <v>610</v>
      </c>
      <c r="B29" s="108" t="s">
        <v>37</v>
      </c>
      <c r="C29" s="123" t="s">
        <v>233</v>
      </c>
      <c r="D29" s="108" t="s">
        <v>605</v>
      </c>
      <c r="E29" s="108">
        <v>38</v>
      </c>
      <c r="F29" s="109">
        <v>821.25</v>
      </c>
      <c r="G29" s="109">
        <f t="shared" si="24"/>
        <v>31207.5</v>
      </c>
      <c r="H29" s="109">
        <f t="shared" si="21"/>
        <v>6241.5</v>
      </c>
      <c r="I29" s="109">
        <f t="shared" ref="I29" si="26">SUM(G29:H29)</f>
        <v>37449</v>
      </c>
      <c r="J29" s="109">
        <f t="shared" si="25"/>
        <v>3120.75</v>
      </c>
      <c r="K29" s="109">
        <f t="shared" si="22"/>
        <v>34328.25</v>
      </c>
      <c r="O29" s="89"/>
      <c r="P29" s="89"/>
      <c r="Q29" s="89"/>
      <c r="S29" s="98"/>
    </row>
    <row r="30" spans="1:20" s="88" customFormat="1" ht="18.600000000000001" thickTop="1" thickBot="1" x14ac:dyDescent="0.35">
      <c r="A30" s="108" t="s">
        <v>610</v>
      </c>
      <c r="B30" s="108" t="s">
        <v>37</v>
      </c>
      <c r="C30" s="123" t="s">
        <v>242</v>
      </c>
      <c r="D30" s="108" t="s">
        <v>243</v>
      </c>
      <c r="E30" s="108">
        <v>0</v>
      </c>
      <c r="F30" s="109">
        <v>821.25</v>
      </c>
      <c r="G30" s="109">
        <f t="shared" si="24"/>
        <v>0</v>
      </c>
      <c r="H30" s="109">
        <f t="shared" si="21"/>
        <v>0</v>
      </c>
      <c r="I30" s="109">
        <f t="shared" si="23"/>
        <v>0</v>
      </c>
      <c r="J30" s="109">
        <f t="shared" si="25"/>
        <v>0</v>
      </c>
      <c r="K30" s="109">
        <f t="shared" si="22"/>
        <v>0</v>
      </c>
      <c r="O30" s="89"/>
      <c r="P30" s="89"/>
      <c r="Q30" s="89"/>
      <c r="S30" s="98"/>
      <c r="T30" s="98"/>
    </row>
    <row r="31" spans="1:20" s="88" customFormat="1" ht="18.600000000000001" thickTop="1" thickBot="1" x14ac:dyDescent="0.35">
      <c r="A31" s="108" t="s">
        <v>610</v>
      </c>
      <c r="B31" s="108" t="s">
        <v>37</v>
      </c>
      <c r="C31" s="122" t="s">
        <v>267</v>
      </c>
      <c r="D31" s="108" t="s">
        <v>604</v>
      </c>
      <c r="E31" s="108">
        <v>57</v>
      </c>
      <c r="F31" s="109">
        <v>821.25</v>
      </c>
      <c r="G31" s="109">
        <f t="shared" si="24"/>
        <v>46811.25</v>
      </c>
      <c r="H31" s="109">
        <f t="shared" si="21"/>
        <v>9362.25</v>
      </c>
      <c r="I31" s="109">
        <f t="shared" si="23"/>
        <v>56173.5</v>
      </c>
      <c r="J31" s="109">
        <f t="shared" si="25"/>
        <v>4681.125</v>
      </c>
      <c r="K31" s="109">
        <f t="shared" si="22"/>
        <v>51492.375</v>
      </c>
      <c r="O31" s="89"/>
      <c r="Q31" s="89"/>
      <c r="S31" s="98"/>
    </row>
    <row r="32" spans="1:20" s="88" customFormat="1" ht="18.600000000000001" thickTop="1" thickBot="1" x14ac:dyDescent="0.35">
      <c r="A32" s="108" t="s">
        <v>610</v>
      </c>
      <c r="B32" s="108" t="s">
        <v>37</v>
      </c>
      <c r="C32" s="123" t="s">
        <v>36</v>
      </c>
      <c r="D32" s="108" t="s">
        <v>132</v>
      </c>
      <c r="E32" s="108">
        <v>19</v>
      </c>
      <c r="F32" s="109">
        <v>821.25</v>
      </c>
      <c r="G32" s="109">
        <f t="shared" si="24"/>
        <v>15603.75</v>
      </c>
      <c r="H32" s="109">
        <f t="shared" si="21"/>
        <v>3120.75</v>
      </c>
      <c r="I32" s="109">
        <f t="shared" si="23"/>
        <v>18724.5</v>
      </c>
      <c r="J32" s="109">
        <f t="shared" si="25"/>
        <v>1560.375</v>
      </c>
      <c r="K32" s="109">
        <f t="shared" si="22"/>
        <v>17164.125</v>
      </c>
      <c r="O32" s="89"/>
      <c r="Q32" s="89"/>
      <c r="S32" s="98"/>
      <c r="T32" s="98"/>
    </row>
    <row r="33" spans="1:28" s="88" customFormat="1" ht="18.600000000000001" thickTop="1" thickBot="1" x14ac:dyDescent="0.35">
      <c r="A33" s="108" t="s">
        <v>610</v>
      </c>
      <c r="B33" s="108" t="s">
        <v>37</v>
      </c>
      <c r="C33" s="123" t="s">
        <v>162</v>
      </c>
      <c r="D33" s="108" t="s">
        <v>604</v>
      </c>
      <c r="E33" s="108">
        <v>57</v>
      </c>
      <c r="F33" s="109">
        <v>821.25</v>
      </c>
      <c r="G33" s="109">
        <f t="shared" si="24"/>
        <v>46811.25</v>
      </c>
      <c r="H33" s="109">
        <f t="shared" si="21"/>
        <v>9362.25</v>
      </c>
      <c r="I33" s="109">
        <f t="shared" ref="I33" si="27">SUM(G33:H33)</f>
        <v>56173.5</v>
      </c>
      <c r="J33" s="109">
        <f t="shared" si="25"/>
        <v>4681.125</v>
      </c>
      <c r="K33" s="109">
        <f t="shared" si="22"/>
        <v>51492.375</v>
      </c>
      <c r="O33" s="89"/>
      <c r="Q33" s="89"/>
    </row>
    <row r="34" spans="1:28" s="88" customFormat="1" ht="18.600000000000001" thickTop="1" thickBot="1" x14ac:dyDescent="0.35">
      <c r="A34" s="108" t="s">
        <v>610</v>
      </c>
      <c r="B34" s="108" t="s">
        <v>37</v>
      </c>
      <c r="C34" s="123" t="s">
        <v>71</v>
      </c>
      <c r="D34" s="108" t="s">
        <v>132</v>
      </c>
      <c r="E34" s="108">
        <v>19</v>
      </c>
      <c r="F34" s="109">
        <v>821.25</v>
      </c>
      <c r="G34" s="109">
        <f t="shared" si="24"/>
        <v>15603.75</v>
      </c>
      <c r="H34" s="109">
        <f t="shared" si="21"/>
        <v>3120.75</v>
      </c>
      <c r="I34" s="109">
        <f t="shared" si="23"/>
        <v>18724.5</v>
      </c>
      <c r="J34" s="109">
        <f t="shared" si="25"/>
        <v>1560.375</v>
      </c>
      <c r="K34" s="109">
        <f t="shared" si="22"/>
        <v>17164.125</v>
      </c>
      <c r="O34" s="89"/>
      <c r="Q34" s="89"/>
    </row>
    <row r="35" spans="1:28" s="88" customFormat="1" ht="18.600000000000001" thickTop="1" thickBot="1" x14ac:dyDescent="0.35">
      <c r="A35" s="108" t="s">
        <v>610</v>
      </c>
      <c r="B35" s="108"/>
      <c r="C35" s="123" t="s">
        <v>250</v>
      </c>
      <c r="D35" s="108" t="s">
        <v>132</v>
      </c>
      <c r="E35" s="108">
        <v>19</v>
      </c>
      <c r="F35" s="109">
        <v>821.25</v>
      </c>
      <c r="G35" s="109">
        <f t="shared" si="24"/>
        <v>15603.75</v>
      </c>
      <c r="H35" s="109">
        <f t="shared" si="21"/>
        <v>3120.75</v>
      </c>
      <c r="I35" s="109">
        <f t="shared" ref="I35:I37" si="28">SUM(G35:H35)</f>
        <v>18724.5</v>
      </c>
      <c r="J35" s="109">
        <f t="shared" ref="J35:J37" si="29">G35*0.1</f>
        <v>1560.375</v>
      </c>
      <c r="K35" s="109">
        <f t="shared" si="22"/>
        <v>17164.125</v>
      </c>
      <c r="O35" s="89"/>
      <c r="Q35" s="89"/>
    </row>
    <row r="36" spans="1:28" s="88" customFormat="1" ht="18.600000000000001" hidden="1" thickTop="1" thickBot="1" x14ac:dyDescent="0.35">
      <c r="A36" s="108"/>
      <c r="B36" s="108"/>
      <c r="C36" s="108" t="s">
        <v>298</v>
      </c>
      <c r="D36" s="108" t="s">
        <v>132</v>
      </c>
      <c r="E36" s="108"/>
      <c r="F36" s="109"/>
      <c r="G36" s="109">
        <f t="shared" si="24"/>
        <v>0</v>
      </c>
      <c r="H36" s="109">
        <f t="shared" si="21"/>
        <v>0</v>
      </c>
      <c r="I36" s="109">
        <f t="shared" si="28"/>
        <v>0</v>
      </c>
      <c r="J36" s="109">
        <f t="shared" si="29"/>
        <v>0</v>
      </c>
      <c r="K36" s="109">
        <f t="shared" si="22"/>
        <v>0</v>
      </c>
      <c r="O36" s="89"/>
      <c r="Q36" s="89"/>
    </row>
    <row r="37" spans="1:28" s="88" customFormat="1" ht="18.600000000000001" hidden="1" thickTop="1" thickBot="1" x14ac:dyDescent="0.35">
      <c r="A37" s="108"/>
      <c r="B37" s="108"/>
      <c r="C37" s="108"/>
      <c r="D37" s="108" t="s">
        <v>132</v>
      </c>
      <c r="E37" s="108"/>
      <c r="F37" s="109"/>
      <c r="G37" s="109">
        <f t="shared" si="24"/>
        <v>0</v>
      </c>
      <c r="H37" s="109">
        <f t="shared" si="21"/>
        <v>0</v>
      </c>
      <c r="I37" s="109">
        <f t="shared" si="28"/>
        <v>0</v>
      </c>
      <c r="J37" s="109">
        <f t="shared" si="29"/>
        <v>0</v>
      </c>
      <c r="K37" s="109">
        <f t="shared" ref="K37:K39" si="30">G37+H37-J37</f>
        <v>0</v>
      </c>
      <c r="O37" s="89"/>
      <c r="Q37" s="89"/>
    </row>
    <row r="38" spans="1:28" ht="18.600000000000001" hidden="1" thickTop="1" thickBot="1" x14ac:dyDescent="0.35">
      <c r="A38" s="37"/>
      <c r="B38" s="37" t="s">
        <v>245</v>
      </c>
      <c r="C38" s="45">
        <f>P23</f>
        <v>0</v>
      </c>
      <c r="D38" s="37" t="s">
        <v>244</v>
      </c>
      <c r="E38" s="37"/>
      <c r="F38" s="38"/>
      <c r="G38" s="38">
        <f>E38*F38</f>
        <v>0</v>
      </c>
      <c r="H38" s="38">
        <f t="shared" si="21"/>
        <v>0</v>
      </c>
      <c r="I38" s="38">
        <f t="shared" si="23"/>
        <v>0</v>
      </c>
      <c r="J38" s="38">
        <f t="shared" si="25"/>
        <v>0</v>
      </c>
      <c r="K38" s="38">
        <f t="shared" si="30"/>
        <v>0</v>
      </c>
    </row>
    <row r="39" spans="1:28" ht="18.600000000000001" hidden="1" thickTop="1" thickBot="1" x14ac:dyDescent="0.35">
      <c r="A39" s="37"/>
      <c r="B39" s="37"/>
      <c r="C39" s="45">
        <v>3.3979990000000002E-2</v>
      </c>
      <c r="D39" s="37" t="s">
        <v>246</v>
      </c>
      <c r="E39" s="37"/>
      <c r="F39" s="38"/>
      <c r="G39" s="38">
        <f>E39*F39</f>
        <v>0</v>
      </c>
      <c r="H39" s="38">
        <f t="shared" ref="H39" si="31">G39*0.1</f>
        <v>0</v>
      </c>
      <c r="I39" s="38">
        <f t="shared" si="23"/>
        <v>0</v>
      </c>
      <c r="J39" s="38">
        <f t="shared" si="25"/>
        <v>0</v>
      </c>
      <c r="K39" s="38">
        <f t="shared" si="30"/>
        <v>0</v>
      </c>
    </row>
    <row r="40" spans="1:28" ht="22.2" customHeight="1" thickTop="1" thickBot="1" x14ac:dyDescent="0.35">
      <c r="A40" s="43"/>
      <c r="B40" s="43"/>
      <c r="C40" s="43"/>
      <c r="D40" s="43"/>
      <c r="E40" s="43"/>
      <c r="F40" s="41"/>
      <c r="G40" s="38">
        <f>SUM(G24:G38)</f>
        <v>313452.5</v>
      </c>
      <c r="H40" s="38">
        <f>SUM(H24:H38)</f>
        <v>62690.5</v>
      </c>
      <c r="I40" s="38">
        <f>SUM(I24:I38)</f>
        <v>376143</v>
      </c>
      <c r="J40" s="38">
        <f>SUM(J24:J38)</f>
        <v>31345.25</v>
      </c>
      <c r="K40" s="38">
        <f>SUM(K24:K38)</f>
        <v>344797.75</v>
      </c>
      <c r="M40" s="88"/>
      <c r="N40" s="88"/>
      <c r="O40" s="89"/>
      <c r="P40" s="88"/>
      <c r="Q40" s="89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</row>
    <row r="41" spans="1:28" s="2" customFormat="1" ht="31.5" customHeight="1" thickTop="1" x14ac:dyDescent="0.3">
      <c r="A41" s="39"/>
      <c r="B41" s="39"/>
      <c r="C41" s="39"/>
      <c r="D41" s="39"/>
      <c r="E41" s="39"/>
      <c r="F41" s="40"/>
      <c r="G41" s="40"/>
      <c r="H41" s="40"/>
      <c r="I41" s="40"/>
      <c r="J41" s="40"/>
      <c r="K41" s="40"/>
      <c r="M41" s="90"/>
      <c r="N41" s="90"/>
      <c r="O41" s="91"/>
      <c r="P41" s="92"/>
      <c r="Q41" s="91"/>
      <c r="R41" s="90"/>
      <c r="S41" s="90"/>
      <c r="T41" s="93"/>
      <c r="U41" s="94"/>
      <c r="V41" s="94"/>
      <c r="W41" s="94"/>
      <c r="X41" s="93"/>
      <c r="Y41" s="94"/>
      <c r="Z41" s="94"/>
      <c r="AA41" s="94"/>
      <c r="AB41" s="94"/>
    </row>
    <row r="42" spans="1:28" ht="18" thickBot="1" x14ac:dyDescent="0.35">
      <c r="A42" s="46" t="s">
        <v>611</v>
      </c>
      <c r="B42" s="46" t="s">
        <v>0</v>
      </c>
      <c r="C42" s="46" t="s">
        <v>1</v>
      </c>
      <c r="D42" s="46" t="s">
        <v>9</v>
      </c>
      <c r="E42" s="46"/>
      <c r="F42" s="47" t="s">
        <v>2</v>
      </c>
      <c r="G42" s="47" t="s">
        <v>3</v>
      </c>
      <c r="H42" s="47">
        <v>0.2</v>
      </c>
      <c r="I42" s="47" t="s">
        <v>4</v>
      </c>
      <c r="J42" s="125">
        <v>0.1</v>
      </c>
      <c r="K42" s="47" t="s">
        <v>5</v>
      </c>
      <c r="M42" s="95"/>
      <c r="N42" s="95"/>
      <c r="O42" s="96"/>
      <c r="P42" s="97"/>
      <c r="Q42" s="96"/>
      <c r="R42" s="95"/>
      <c r="S42" s="97"/>
      <c r="T42" s="98"/>
      <c r="U42" s="98"/>
      <c r="V42" s="98"/>
      <c r="W42" s="98"/>
      <c r="X42" s="98"/>
      <c r="Y42" s="98"/>
      <c r="Z42" s="88"/>
      <c r="AA42" s="88"/>
      <c r="AB42" s="88"/>
    </row>
    <row r="43" spans="1:28" ht="18.600000000000001" thickTop="1" thickBot="1" x14ac:dyDescent="0.35">
      <c r="A43" s="48" t="s">
        <v>611</v>
      </c>
      <c r="B43" s="19" t="s">
        <v>61</v>
      </c>
      <c r="C43" s="19" t="s">
        <v>62</v>
      </c>
      <c r="D43" s="48" t="s">
        <v>316</v>
      </c>
      <c r="E43" s="48">
        <v>30</v>
      </c>
      <c r="F43" s="49">
        <v>2200</v>
      </c>
      <c r="G43" s="49">
        <f t="shared" ref="G43:G62" si="32">E43*F43</f>
        <v>66000</v>
      </c>
      <c r="H43" s="49">
        <f>G43*0.2</f>
        <v>13200</v>
      </c>
      <c r="I43" s="49">
        <f t="shared" ref="I43:I63" si="33">SUM(G43:H43)</f>
        <v>79200</v>
      </c>
      <c r="J43" s="49">
        <f>G43*J42</f>
        <v>6600</v>
      </c>
      <c r="K43" s="49">
        <f>G43+J43</f>
        <v>72600</v>
      </c>
      <c r="M43" s="95"/>
      <c r="N43" s="95"/>
      <c r="O43" s="96"/>
      <c r="P43" s="96"/>
      <c r="Q43" s="96"/>
      <c r="R43" s="95"/>
      <c r="S43" s="97"/>
      <c r="T43" s="98"/>
      <c r="U43" s="98"/>
      <c r="V43" s="98"/>
      <c r="W43" s="98"/>
      <c r="X43" s="98"/>
      <c r="Y43" s="98"/>
      <c r="Z43" s="88"/>
      <c r="AA43" s="88"/>
      <c r="AB43" s="88"/>
    </row>
    <row r="44" spans="1:28" ht="18.600000000000001" thickTop="1" thickBot="1" x14ac:dyDescent="0.35">
      <c r="A44" s="48" t="s">
        <v>611</v>
      </c>
      <c r="B44" s="19" t="s">
        <v>61</v>
      </c>
      <c r="C44" s="19" t="s">
        <v>63</v>
      </c>
      <c r="D44" s="48" t="s">
        <v>316</v>
      </c>
      <c r="E44" s="48">
        <v>30</v>
      </c>
      <c r="F44" s="49">
        <v>2200</v>
      </c>
      <c r="G44" s="49">
        <f t="shared" si="32"/>
        <v>66000</v>
      </c>
      <c r="H44" s="49">
        <f t="shared" ref="H44:H62" si="34">G44*0.2</f>
        <v>13200</v>
      </c>
      <c r="I44" s="49">
        <f t="shared" si="33"/>
        <v>79200</v>
      </c>
      <c r="J44" s="49">
        <f>G44*0.1</f>
        <v>6600</v>
      </c>
      <c r="K44" s="49">
        <f t="shared" ref="K44:K62" si="35">G44+J44</f>
        <v>72600</v>
      </c>
      <c r="M44" s="95"/>
      <c r="N44" s="95"/>
      <c r="O44" s="96"/>
      <c r="P44" s="96"/>
      <c r="Q44" s="96"/>
      <c r="R44" s="95"/>
      <c r="S44" s="97"/>
      <c r="T44" s="98"/>
      <c r="U44" s="98"/>
      <c r="V44" s="98"/>
      <c r="W44" s="98"/>
      <c r="X44" s="98"/>
      <c r="Y44" s="98"/>
      <c r="Z44" s="88"/>
      <c r="AA44" s="88"/>
      <c r="AB44" s="88"/>
    </row>
    <row r="45" spans="1:28" ht="18.600000000000001" thickTop="1" thickBot="1" x14ac:dyDescent="0.35">
      <c r="A45" s="48" t="s">
        <v>611</v>
      </c>
      <c r="B45" s="19" t="s">
        <v>220</v>
      </c>
      <c r="C45" s="19" t="s">
        <v>64</v>
      </c>
      <c r="D45" s="48" t="s">
        <v>255</v>
      </c>
      <c r="E45" s="48">
        <v>30</v>
      </c>
      <c r="F45" s="49">
        <v>2300</v>
      </c>
      <c r="G45" s="49">
        <f t="shared" si="32"/>
        <v>69000</v>
      </c>
      <c r="H45" s="49">
        <f t="shared" si="34"/>
        <v>13800</v>
      </c>
      <c r="I45" s="49">
        <f t="shared" si="33"/>
        <v>82800</v>
      </c>
      <c r="J45" s="49">
        <f t="shared" ref="J45:J62" si="36">G45*0.1</f>
        <v>6900</v>
      </c>
      <c r="K45" s="49">
        <f t="shared" si="35"/>
        <v>75900</v>
      </c>
      <c r="M45" s="95"/>
      <c r="N45" s="95"/>
      <c r="O45" s="96"/>
      <c r="P45" s="96"/>
      <c r="Q45" s="96"/>
      <c r="R45" s="95"/>
      <c r="S45" s="97"/>
      <c r="T45" s="98"/>
      <c r="U45" s="98"/>
      <c r="V45" s="98"/>
      <c r="W45" s="98"/>
      <c r="X45" s="98"/>
      <c r="Y45" s="98"/>
      <c r="Z45" s="88"/>
      <c r="AA45" s="88"/>
      <c r="AB45" s="88"/>
    </row>
    <row r="46" spans="1:28" ht="18.600000000000001" thickTop="1" thickBot="1" x14ac:dyDescent="0.35">
      <c r="A46" s="48" t="s">
        <v>611</v>
      </c>
      <c r="B46" s="19" t="s">
        <v>61</v>
      </c>
      <c r="C46" s="20" t="s">
        <v>256</v>
      </c>
      <c r="D46" s="48" t="s">
        <v>316</v>
      </c>
      <c r="E46" s="48">
        <v>30</v>
      </c>
      <c r="F46" s="49">
        <v>2000</v>
      </c>
      <c r="G46" s="49">
        <f t="shared" si="32"/>
        <v>60000</v>
      </c>
      <c r="H46" s="49">
        <f t="shared" si="34"/>
        <v>12000</v>
      </c>
      <c r="I46" s="49">
        <f>SUM(G46:H46)</f>
        <v>72000</v>
      </c>
      <c r="J46" s="49">
        <f t="shared" si="36"/>
        <v>6000</v>
      </c>
      <c r="K46" s="49">
        <f t="shared" si="35"/>
        <v>66000</v>
      </c>
      <c r="M46" s="95"/>
      <c r="N46" s="95"/>
      <c r="O46" s="96"/>
      <c r="P46" s="96"/>
      <c r="Q46" s="96"/>
      <c r="R46" s="95"/>
      <c r="S46" s="97"/>
      <c r="T46" s="98"/>
      <c r="U46" s="98"/>
      <c r="V46" s="98"/>
      <c r="W46" s="98"/>
      <c r="X46" s="98"/>
      <c r="Y46" s="98"/>
      <c r="Z46" s="88"/>
      <c r="AA46" s="88"/>
      <c r="AB46" s="88"/>
    </row>
    <row r="47" spans="1:28" ht="18.600000000000001" thickTop="1" thickBot="1" x14ac:dyDescent="0.35">
      <c r="A47" s="48" t="s">
        <v>611</v>
      </c>
      <c r="B47" s="19" t="s">
        <v>219</v>
      </c>
      <c r="C47" s="19" t="s">
        <v>65</v>
      </c>
      <c r="D47" s="48" t="s">
        <v>316</v>
      </c>
      <c r="E47" s="48">
        <v>30</v>
      </c>
      <c r="F47" s="49">
        <v>2000</v>
      </c>
      <c r="G47" s="49">
        <f t="shared" si="32"/>
        <v>60000</v>
      </c>
      <c r="H47" s="49">
        <f t="shared" si="34"/>
        <v>12000</v>
      </c>
      <c r="I47" s="49">
        <f t="shared" si="33"/>
        <v>72000</v>
      </c>
      <c r="J47" s="49">
        <f t="shared" si="36"/>
        <v>6000</v>
      </c>
      <c r="K47" s="49">
        <f t="shared" si="35"/>
        <v>66000</v>
      </c>
      <c r="M47" s="95"/>
      <c r="N47" s="95"/>
      <c r="O47" s="96"/>
      <c r="P47" s="96"/>
      <c r="Q47" s="96"/>
      <c r="R47" s="95"/>
      <c r="S47" s="97"/>
      <c r="T47" s="98"/>
      <c r="U47" s="98"/>
      <c r="V47" s="98"/>
      <c r="W47" s="98"/>
      <c r="X47" s="98"/>
      <c r="Y47" s="98"/>
      <c r="Z47" s="88"/>
      <c r="AA47" s="88"/>
      <c r="AB47" s="88"/>
    </row>
    <row r="48" spans="1:28" ht="18.600000000000001" thickTop="1" thickBot="1" x14ac:dyDescent="0.35">
      <c r="A48" s="48" t="s">
        <v>611</v>
      </c>
      <c r="B48" s="19" t="s">
        <v>273</v>
      </c>
      <c r="C48" s="19" t="s">
        <v>274</v>
      </c>
      <c r="D48" s="48" t="s">
        <v>316</v>
      </c>
      <c r="E48" s="48">
        <v>30</v>
      </c>
      <c r="F48" s="49">
        <v>2000</v>
      </c>
      <c r="G48" s="49">
        <f t="shared" si="32"/>
        <v>60000</v>
      </c>
      <c r="H48" s="49">
        <f t="shared" si="34"/>
        <v>12000</v>
      </c>
      <c r="I48" s="49">
        <f t="shared" si="33"/>
        <v>72000</v>
      </c>
      <c r="J48" s="49">
        <f t="shared" si="36"/>
        <v>6000</v>
      </c>
      <c r="K48" s="49">
        <f t="shared" si="35"/>
        <v>66000</v>
      </c>
      <c r="M48" s="95"/>
      <c r="N48" s="95"/>
      <c r="O48" s="97"/>
      <c r="P48" s="97"/>
      <c r="Q48" s="96"/>
      <c r="R48" s="95"/>
      <c r="S48" s="99"/>
      <c r="T48" s="98"/>
      <c r="U48" s="98"/>
      <c r="V48" s="98"/>
      <c r="W48" s="98"/>
      <c r="X48" s="98"/>
      <c r="Y48" s="98"/>
      <c r="Z48" s="88"/>
      <c r="AA48" s="88"/>
      <c r="AB48" s="88"/>
    </row>
    <row r="49" spans="1:28" ht="18.600000000000001" thickTop="1" thickBot="1" x14ac:dyDescent="0.35">
      <c r="A49" s="48" t="s">
        <v>611</v>
      </c>
      <c r="B49" s="1" t="s">
        <v>60</v>
      </c>
      <c r="C49" s="1"/>
      <c r="D49" s="48" t="s">
        <v>521</v>
      </c>
      <c r="E49" s="48">
        <v>30</v>
      </c>
      <c r="F49" s="49">
        <v>1400</v>
      </c>
      <c r="G49" s="49">
        <f t="shared" si="32"/>
        <v>42000</v>
      </c>
      <c r="H49" s="49">
        <f t="shared" si="34"/>
        <v>8400</v>
      </c>
      <c r="I49" s="49">
        <f>SUM(G49:H49)</f>
        <v>50400</v>
      </c>
      <c r="J49" s="49">
        <f t="shared" si="36"/>
        <v>4200</v>
      </c>
      <c r="K49" s="49">
        <f t="shared" si="35"/>
        <v>46200</v>
      </c>
      <c r="M49" s="95"/>
      <c r="N49" s="95"/>
      <c r="O49" s="96"/>
      <c r="P49" s="97"/>
      <c r="Q49" s="100"/>
      <c r="R49" s="95"/>
      <c r="S49" s="97"/>
      <c r="T49" s="88"/>
      <c r="U49" s="88"/>
      <c r="V49" s="98"/>
      <c r="W49" s="98"/>
      <c r="X49" s="98"/>
      <c r="Y49" s="101"/>
      <c r="Z49" s="88"/>
      <c r="AA49" s="88"/>
      <c r="AB49" s="88"/>
    </row>
    <row r="50" spans="1:28" ht="18.600000000000001" thickTop="1" thickBot="1" x14ac:dyDescent="0.35">
      <c r="A50" s="48" t="s">
        <v>611</v>
      </c>
      <c r="B50" s="1" t="s">
        <v>60</v>
      </c>
      <c r="C50" s="1"/>
      <c r="D50" s="48" t="s">
        <v>521</v>
      </c>
      <c r="E50" s="48">
        <v>30</v>
      </c>
      <c r="F50" s="49">
        <v>1400</v>
      </c>
      <c r="G50" s="49">
        <f t="shared" si="32"/>
        <v>42000</v>
      </c>
      <c r="H50" s="49">
        <f t="shared" si="34"/>
        <v>8400</v>
      </c>
      <c r="I50" s="49">
        <f>SUM(G50:H50)</f>
        <v>50400</v>
      </c>
      <c r="J50" s="49">
        <f t="shared" si="36"/>
        <v>4200</v>
      </c>
      <c r="K50" s="49">
        <f t="shared" si="35"/>
        <v>46200</v>
      </c>
      <c r="M50" s="95"/>
      <c r="N50" s="95"/>
      <c r="O50" s="96"/>
      <c r="P50" s="97"/>
      <c r="Q50" s="96"/>
      <c r="R50" s="95"/>
      <c r="S50" s="95"/>
      <c r="T50" s="88"/>
      <c r="U50" s="88"/>
      <c r="V50" s="88"/>
      <c r="W50" s="88"/>
      <c r="X50" s="88"/>
      <c r="Y50" s="88"/>
      <c r="Z50" s="88"/>
      <c r="AA50" s="88"/>
      <c r="AB50" s="88"/>
    </row>
    <row r="51" spans="1:28" ht="18.600000000000001" thickTop="1" thickBot="1" x14ac:dyDescent="0.35">
      <c r="A51" s="48" t="s">
        <v>611</v>
      </c>
      <c r="B51" s="1" t="s">
        <v>60</v>
      </c>
      <c r="C51" s="1"/>
      <c r="D51" s="48" t="s">
        <v>520</v>
      </c>
      <c r="E51" s="48">
        <v>30</v>
      </c>
      <c r="F51" s="49">
        <v>1400</v>
      </c>
      <c r="G51" s="49">
        <f>E51*F51</f>
        <v>42000</v>
      </c>
      <c r="H51" s="49">
        <f t="shared" si="34"/>
        <v>8400</v>
      </c>
      <c r="I51" s="49">
        <f>SUM(G51:H51)</f>
        <v>50400</v>
      </c>
      <c r="J51" s="49">
        <f t="shared" si="36"/>
        <v>4200</v>
      </c>
      <c r="K51" s="49">
        <f t="shared" si="35"/>
        <v>46200</v>
      </c>
      <c r="M51" s="88"/>
      <c r="N51" s="88"/>
      <c r="O51" s="88"/>
      <c r="P51" s="88"/>
      <c r="Q51" s="88"/>
      <c r="R51" s="88"/>
      <c r="S51" s="526"/>
      <c r="T51" s="88"/>
      <c r="U51" s="88"/>
      <c r="V51" s="89"/>
      <c r="W51" s="88"/>
      <c r="X51" s="98"/>
      <c r="Y51" s="527"/>
      <c r="Z51" s="88"/>
      <c r="AA51" s="88"/>
      <c r="AB51" s="88"/>
    </row>
    <row r="52" spans="1:28" ht="18.600000000000001" thickTop="1" thickBot="1" x14ac:dyDescent="0.35">
      <c r="A52" s="48" t="s">
        <v>611</v>
      </c>
      <c r="B52" s="1" t="s">
        <v>60</v>
      </c>
      <c r="C52" s="1"/>
      <c r="D52" s="48" t="s">
        <v>520</v>
      </c>
      <c r="E52" s="48">
        <v>30</v>
      </c>
      <c r="F52" s="49">
        <v>1400</v>
      </c>
      <c r="G52" s="49">
        <f t="shared" si="32"/>
        <v>42000</v>
      </c>
      <c r="H52" s="49">
        <f t="shared" si="34"/>
        <v>8400</v>
      </c>
      <c r="I52" s="49">
        <f t="shared" si="33"/>
        <v>50400</v>
      </c>
      <c r="J52" s="49">
        <f t="shared" si="36"/>
        <v>4200</v>
      </c>
      <c r="K52" s="49">
        <f t="shared" si="35"/>
        <v>46200</v>
      </c>
      <c r="M52" s="88"/>
      <c r="N52" s="88"/>
      <c r="O52" s="89"/>
      <c r="P52" s="98"/>
      <c r="Q52" s="102"/>
      <c r="R52" s="88"/>
      <c r="S52" s="526"/>
      <c r="T52" s="88"/>
      <c r="U52" s="88"/>
      <c r="V52" s="89"/>
      <c r="W52" s="88"/>
      <c r="X52" s="98"/>
      <c r="Y52" s="528"/>
      <c r="Z52" s="88"/>
      <c r="AA52" s="88"/>
      <c r="AB52" s="88"/>
    </row>
    <row r="53" spans="1:28" ht="18.600000000000001" thickTop="1" thickBot="1" x14ac:dyDescent="0.35">
      <c r="A53" s="48" t="s">
        <v>611</v>
      </c>
      <c r="B53" s="1" t="s">
        <v>60</v>
      </c>
      <c r="C53" s="1"/>
      <c r="D53" s="48" t="s">
        <v>520</v>
      </c>
      <c r="E53" s="48">
        <v>30</v>
      </c>
      <c r="F53" s="49">
        <v>1400</v>
      </c>
      <c r="G53" s="49">
        <f t="shared" si="32"/>
        <v>42000</v>
      </c>
      <c r="H53" s="49">
        <f t="shared" si="34"/>
        <v>8400</v>
      </c>
      <c r="I53" s="49">
        <f t="shared" si="33"/>
        <v>50400</v>
      </c>
      <c r="J53" s="49">
        <f t="shared" si="36"/>
        <v>4200</v>
      </c>
      <c r="K53" s="49">
        <f t="shared" si="35"/>
        <v>46200</v>
      </c>
      <c r="M53" s="88"/>
      <c r="N53" s="88"/>
      <c r="O53" s="89"/>
      <c r="P53" s="98"/>
      <c r="Q53" s="102"/>
      <c r="R53" s="88"/>
      <c r="S53" s="88"/>
      <c r="T53" s="88"/>
      <c r="U53" s="88"/>
      <c r="V53" s="89"/>
      <c r="W53" s="88"/>
      <c r="X53" s="98"/>
      <c r="Y53" s="103"/>
      <c r="Z53" s="88"/>
      <c r="AA53" s="88"/>
      <c r="AB53" s="88"/>
    </row>
    <row r="54" spans="1:28" ht="18.600000000000001" thickTop="1" thickBot="1" x14ac:dyDescent="0.35">
      <c r="A54" s="48" t="s">
        <v>611</v>
      </c>
      <c r="B54" s="1" t="s">
        <v>60</v>
      </c>
      <c r="C54" s="1"/>
      <c r="D54" s="48" t="s">
        <v>520</v>
      </c>
      <c r="E54" s="48">
        <v>30</v>
      </c>
      <c r="F54" s="49">
        <v>1400</v>
      </c>
      <c r="G54" s="49">
        <f t="shared" si="32"/>
        <v>42000</v>
      </c>
      <c r="H54" s="49">
        <f t="shared" si="34"/>
        <v>8400</v>
      </c>
      <c r="I54" s="49">
        <f t="shared" si="33"/>
        <v>50400</v>
      </c>
      <c r="J54" s="49">
        <f t="shared" si="36"/>
        <v>4200</v>
      </c>
      <c r="K54" s="49">
        <f t="shared" si="35"/>
        <v>46200</v>
      </c>
      <c r="M54" s="88"/>
      <c r="N54" s="88"/>
      <c r="O54" s="89"/>
      <c r="P54" s="98"/>
      <c r="Q54" s="89"/>
      <c r="R54" s="88"/>
      <c r="S54" s="88"/>
      <c r="T54" s="88"/>
      <c r="U54" s="88"/>
      <c r="V54" s="89"/>
      <c r="W54" s="88"/>
      <c r="X54" s="98"/>
      <c r="Y54" s="527"/>
      <c r="Z54" s="88"/>
      <c r="AA54" s="88"/>
      <c r="AB54" s="88"/>
    </row>
    <row r="55" spans="1:28" ht="18.600000000000001" thickTop="1" thickBot="1" x14ac:dyDescent="0.35">
      <c r="A55" s="48" t="s">
        <v>611</v>
      </c>
      <c r="B55" s="1" t="s">
        <v>60</v>
      </c>
      <c r="C55" s="1"/>
      <c r="D55" s="48" t="s">
        <v>520</v>
      </c>
      <c r="E55" s="48">
        <v>30</v>
      </c>
      <c r="F55" s="49">
        <v>1400</v>
      </c>
      <c r="G55" s="49">
        <f t="shared" si="32"/>
        <v>42000</v>
      </c>
      <c r="H55" s="49">
        <f t="shared" si="34"/>
        <v>8400</v>
      </c>
      <c r="I55" s="49">
        <f t="shared" si="33"/>
        <v>50400</v>
      </c>
      <c r="J55" s="49">
        <f t="shared" si="36"/>
        <v>4200</v>
      </c>
      <c r="K55" s="49">
        <f t="shared" si="35"/>
        <v>46200</v>
      </c>
      <c r="M55" s="88"/>
      <c r="N55" s="88"/>
      <c r="O55" s="89"/>
      <c r="P55" s="101"/>
      <c r="Q55" s="89"/>
      <c r="R55" s="98"/>
      <c r="S55" s="98"/>
      <c r="T55" s="88"/>
      <c r="U55" s="88"/>
      <c r="V55" s="89"/>
      <c r="W55" s="88"/>
      <c r="X55" s="98"/>
      <c r="Y55" s="528"/>
      <c r="Z55" s="88"/>
      <c r="AA55" s="88"/>
      <c r="AB55" s="88"/>
    </row>
    <row r="56" spans="1:28" ht="18.600000000000001" thickTop="1" thickBot="1" x14ac:dyDescent="0.35">
      <c r="A56" s="48" t="s">
        <v>611</v>
      </c>
      <c r="B56" s="1" t="s">
        <v>60</v>
      </c>
      <c r="C56" s="1"/>
      <c r="D56" s="48" t="s">
        <v>520</v>
      </c>
      <c r="E56" s="48">
        <v>30</v>
      </c>
      <c r="F56" s="49">
        <v>1400</v>
      </c>
      <c r="G56" s="49">
        <f t="shared" si="32"/>
        <v>42000</v>
      </c>
      <c r="H56" s="49">
        <f t="shared" si="34"/>
        <v>8400</v>
      </c>
      <c r="I56" s="49">
        <f t="shared" si="33"/>
        <v>50400</v>
      </c>
      <c r="J56" s="49">
        <f t="shared" si="36"/>
        <v>4200</v>
      </c>
      <c r="K56" s="49">
        <f t="shared" si="35"/>
        <v>46200</v>
      </c>
      <c r="M56" s="88"/>
      <c r="N56" s="88"/>
      <c r="O56" s="89"/>
      <c r="P56" s="104"/>
      <c r="Q56" s="89"/>
      <c r="R56" s="88"/>
      <c r="S56" s="88"/>
      <c r="T56" s="88"/>
      <c r="U56" s="88"/>
      <c r="V56" s="89"/>
      <c r="W56" s="88"/>
      <c r="X56" s="98"/>
      <c r="Y56" s="528"/>
      <c r="Z56" s="88"/>
      <c r="AA56" s="88"/>
      <c r="AB56" s="88"/>
    </row>
    <row r="57" spans="1:28" ht="18.600000000000001" thickTop="1" thickBot="1" x14ac:dyDescent="0.35">
      <c r="A57" s="48" t="s">
        <v>611</v>
      </c>
      <c r="B57" s="1" t="s">
        <v>60</v>
      </c>
      <c r="C57" s="1"/>
      <c r="D57" s="48" t="s">
        <v>520</v>
      </c>
      <c r="E57" s="48">
        <v>30</v>
      </c>
      <c r="F57" s="49">
        <v>1400</v>
      </c>
      <c r="G57" s="49">
        <f t="shared" si="32"/>
        <v>42000</v>
      </c>
      <c r="H57" s="49">
        <f t="shared" si="34"/>
        <v>8400</v>
      </c>
      <c r="I57" s="49">
        <f t="shared" si="33"/>
        <v>50400</v>
      </c>
      <c r="J57" s="49">
        <f t="shared" si="36"/>
        <v>4200</v>
      </c>
      <c r="K57" s="49">
        <f t="shared" si="35"/>
        <v>46200</v>
      </c>
      <c r="M57" s="88"/>
      <c r="N57" s="88"/>
      <c r="O57" s="98"/>
      <c r="P57" s="104"/>
      <c r="Q57" s="89"/>
      <c r="R57" s="98"/>
      <c r="S57" s="98"/>
      <c r="T57" s="88"/>
      <c r="U57" s="88"/>
      <c r="V57" s="89"/>
      <c r="W57" s="88"/>
      <c r="X57" s="98"/>
      <c r="Y57" s="528"/>
      <c r="Z57" s="88"/>
      <c r="AA57" s="88"/>
      <c r="AB57" s="88"/>
    </row>
    <row r="58" spans="1:28" ht="18.600000000000001" thickTop="1" thickBot="1" x14ac:dyDescent="0.35">
      <c r="A58" s="48" t="s">
        <v>611</v>
      </c>
      <c r="B58" s="1" t="s">
        <v>60</v>
      </c>
      <c r="C58" s="1"/>
      <c r="D58" s="48" t="s">
        <v>520</v>
      </c>
      <c r="E58" s="48">
        <v>30</v>
      </c>
      <c r="F58" s="49">
        <v>1400</v>
      </c>
      <c r="G58" s="49">
        <f t="shared" si="32"/>
        <v>42000</v>
      </c>
      <c r="H58" s="49">
        <f t="shared" si="34"/>
        <v>8400</v>
      </c>
      <c r="I58" s="49">
        <f t="shared" si="33"/>
        <v>50400</v>
      </c>
      <c r="J58" s="49">
        <f t="shared" si="36"/>
        <v>4200</v>
      </c>
      <c r="K58" s="49">
        <f t="shared" si="35"/>
        <v>46200</v>
      </c>
      <c r="M58" s="88"/>
      <c r="N58" s="88"/>
      <c r="O58" s="89"/>
      <c r="P58" s="88"/>
      <c r="Q58" s="89"/>
      <c r="R58" s="98"/>
      <c r="S58" s="88"/>
      <c r="T58" s="98"/>
      <c r="U58" s="88"/>
      <c r="V58" s="89"/>
      <c r="W58" s="88"/>
      <c r="X58" s="89"/>
      <c r="Y58" s="88"/>
      <c r="Z58" s="88"/>
      <c r="AA58" s="88"/>
      <c r="AB58" s="88"/>
    </row>
    <row r="59" spans="1:28" ht="18.600000000000001" thickTop="1" thickBot="1" x14ac:dyDescent="0.35">
      <c r="A59" s="48" t="s">
        <v>611</v>
      </c>
      <c r="B59" s="1" t="s">
        <v>60</v>
      </c>
      <c r="C59" s="1"/>
      <c r="D59" s="48" t="s">
        <v>522</v>
      </c>
      <c r="E59" s="48">
        <v>30</v>
      </c>
      <c r="F59" s="49">
        <v>1350</v>
      </c>
      <c r="G59" s="49">
        <f t="shared" ref="G59" si="37">E59*F59</f>
        <v>40500</v>
      </c>
      <c r="H59" s="49">
        <f t="shared" ref="H59" si="38">G59*0.2</f>
        <v>8100</v>
      </c>
      <c r="I59" s="49">
        <f t="shared" ref="I59" si="39">SUM(G59:H59)</f>
        <v>48600</v>
      </c>
      <c r="J59" s="49">
        <f t="shared" ref="J59" si="40">G59*0.1</f>
        <v>4050</v>
      </c>
      <c r="K59" s="49">
        <f t="shared" ref="K59" si="41">G59+J59</f>
        <v>44550</v>
      </c>
      <c r="M59" s="88"/>
      <c r="N59" s="88"/>
      <c r="O59" s="89"/>
      <c r="P59" s="98"/>
      <c r="Q59" s="89"/>
      <c r="R59" s="88"/>
      <c r="S59" s="104"/>
      <c r="T59" s="88"/>
      <c r="U59" s="88"/>
      <c r="V59" s="89"/>
      <c r="W59" s="88"/>
      <c r="X59" s="89"/>
      <c r="Y59" s="29"/>
      <c r="Z59" s="88"/>
      <c r="AA59" s="88"/>
      <c r="AB59" s="88"/>
    </row>
    <row r="60" spans="1:28" ht="18.600000000000001" thickTop="1" thickBot="1" x14ac:dyDescent="0.35">
      <c r="A60" s="48" t="s">
        <v>611</v>
      </c>
      <c r="B60" s="20" t="s">
        <v>59</v>
      </c>
      <c r="C60" s="20" t="s">
        <v>248</v>
      </c>
      <c r="D60" s="20" t="s">
        <v>59</v>
      </c>
      <c r="E60" s="48">
        <v>30</v>
      </c>
      <c r="F60" s="49">
        <v>2100</v>
      </c>
      <c r="G60" s="49">
        <f t="shared" si="32"/>
        <v>63000</v>
      </c>
      <c r="H60" s="49">
        <f t="shared" si="34"/>
        <v>12600</v>
      </c>
      <c r="I60" s="49">
        <f t="shared" si="33"/>
        <v>75600</v>
      </c>
      <c r="J60" s="49">
        <f t="shared" si="36"/>
        <v>6300</v>
      </c>
      <c r="K60" s="49">
        <f t="shared" si="35"/>
        <v>69300</v>
      </c>
      <c r="M60" s="88"/>
      <c r="N60" s="88"/>
      <c r="O60" s="89"/>
      <c r="P60" s="98"/>
      <c r="Q60" s="89"/>
      <c r="R60" s="88"/>
      <c r="S60" s="88"/>
      <c r="T60" s="98"/>
      <c r="U60" s="88"/>
      <c r="V60" s="88"/>
      <c r="W60" s="98"/>
      <c r="X60" s="98"/>
      <c r="Y60" s="98"/>
      <c r="Z60" s="88"/>
      <c r="AA60" s="88"/>
      <c r="AB60" s="88"/>
    </row>
    <row r="61" spans="1:28" ht="18.600000000000001" thickTop="1" thickBot="1" x14ac:dyDescent="0.35">
      <c r="A61" s="48" t="s">
        <v>611</v>
      </c>
      <c r="B61" s="20" t="s">
        <v>59</v>
      </c>
      <c r="C61" s="20" t="s">
        <v>66</v>
      </c>
      <c r="D61" s="20" t="s">
        <v>59</v>
      </c>
      <c r="E61" s="48">
        <v>30</v>
      </c>
      <c r="F61" s="49">
        <v>2100</v>
      </c>
      <c r="G61" s="49">
        <f t="shared" si="32"/>
        <v>63000</v>
      </c>
      <c r="H61" s="49">
        <f t="shared" si="34"/>
        <v>12600</v>
      </c>
      <c r="I61" s="49">
        <f>SUM(G61:H61)</f>
        <v>75600</v>
      </c>
      <c r="J61" s="49">
        <f t="shared" si="36"/>
        <v>6300</v>
      </c>
      <c r="K61" s="49">
        <f t="shared" si="35"/>
        <v>69300</v>
      </c>
      <c r="M61" s="88"/>
      <c r="N61" s="88"/>
      <c r="O61" s="89"/>
      <c r="P61" s="98"/>
      <c r="Q61" s="89"/>
      <c r="R61" s="88"/>
      <c r="S61" s="88"/>
      <c r="T61" s="88"/>
      <c r="U61" s="88"/>
      <c r="V61" s="88"/>
      <c r="W61" s="88"/>
      <c r="X61" s="525"/>
      <c r="Y61" s="526"/>
      <c r="Z61" s="88"/>
      <c r="AA61" s="88"/>
      <c r="AB61" s="88"/>
    </row>
    <row r="62" spans="1:28" ht="18" customHeight="1" thickTop="1" thickBot="1" x14ac:dyDescent="0.35">
      <c r="A62" s="48" t="s">
        <v>611</v>
      </c>
      <c r="B62" s="20" t="s">
        <v>59</v>
      </c>
      <c r="C62" s="20"/>
      <c r="D62" s="20" t="s">
        <v>59</v>
      </c>
      <c r="E62" s="48">
        <v>30</v>
      </c>
      <c r="F62" s="49">
        <v>2100</v>
      </c>
      <c r="G62" s="49">
        <f t="shared" si="32"/>
        <v>63000</v>
      </c>
      <c r="H62" s="49">
        <f t="shared" si="34"/>
        <v>12600</v>
      </c>
      <c r="I62" s="49">
        <f>SUM(G62:H62)</f>
        <v>75600</v>
      </c>
      <c r="J62" s="49">
        <f t="shared" si="36"/>
        <v>6300</v>
      </c>
      <c r="K62" s="49">
        <f t="shared" si="35"/>
        <v>69300</v>
      </c>
      <c r="M62" s="88"/>
      <c r="N62" s="88"/>
      <c r="O62" s="89"/>
      <c r="P62" s="98"/>
      <c r="Q62" s="89"/>
      <c r="R62" s="88"/>
      <c r="S62" s="98"/>
      <c r="T62" s="98"/>
      <c r="U62" s="88"/>
      <c r="V62" s="88"/>
      <c r="W62" s="98"/>
      <c r="X62" s="88"/>
      <c r="Y62" s="88"/>
      <c r="Z62" s="88"/>
      <c r="AA62" s="88"/>
      <c r="AB62" s="88"/>
    </row>
    <row r="63" spans="1:28" ht="18.600000000000001" thickTop="1" thickBot="1" x14ac:dyDescent="0.35">
      <c r="A63" s="48"/>
      <c r="B63" s="1"/>
      <c r="C63" s="1"/>
      <c r="D63" s="50"/>
      <c r="E63" s="48"/>
      <c r="F63" s="49"/>
      <c r="G63" s="49">
        <f>E63*F63</f>
        <v>0</v>
      </c>
      <c r="H63" s="49">
        <f>G63*0.1</f>
        <v>0</v>
      </c>
      <c r="I63" s="49">
        <f t="shared" si="33"/>
        <v>0</v>
      </c>
      <c r="J63" s="49">
        <f t="shared" ref="J63" si="42">(H63)-(H63*9/10)</f>
        <v>0</v>
      </c>
      <c r="K63" s="49">
        <f>SUM(G63:H63)</f>
        <v>0</v>
      </c>
      <c r="M63" s="88"/>
      <c r="N63" s="88"/>
      <c r="O63" s="89"/>
      <c r="P63" s="98"/>
      <c r="Q63" s="89"/>
      <c r="R63" s="88"/>
      <c r="S63" s="88"/>
      <c r="T63" s="98"/>
      <c r="U63" s="88"/>
      <c r="V63" s="88"/>
      <c r="W63" s="98"/>
      <c r="X63" s="88"/>
      <c r="Y63" s="88"/>
      <c r="Z63" s="88"/>
      <c r="AA63" s="88"/>
      <c r="AB63" s="88"/>
    </row>
    <row r="64" spans="1:28" s="2" customFormat="1" ht="31.5" customHeight="1" thickTop="1" thickBot="1" x14ac:dyDescent="0.35">
      <c r="A64" s="43"/>
      <c r="B64" s="2" t="s">
        <v>568</v>
      </c>
      <c r="D64" s="39" t="s">
        <v>247</v>
      </c>
      <c r="E64" s="39"/>
      <c r="F64" s="51"/>
      <c r="G64" s="52">
        <f>SUM(G43:G63)</f>
        <v>1030500</v>
      </c>
      <c r="H64" s="52">
        <f>SUM(H43:H63)</f>
        <v>206100</v>
      </c>
      <c r="I64" s="52">
        <f>SUM(I43:I63)</f>
        <v>1236600</v>
      </c>
      <c r="J64" s="52">
        <f>SUM(J43:J63)</f>
        <v>103050</v>
      </c>
      <c r="K64" s="52">
        <f>SUM(K43:K63)</f>
        <v>1133550</v>
      </c>
      <c r="M64" s="39"/>
      <c r="N64" s="39"/>
      <c r="O64" s="40"/>
      <c r="P64" s="44"/>
      <c r="Q64" s="40"/>
      <c r="R64" s="39"/>
      <c r="S64" s="39"/>
      <c r="T64" s="39"/>
      <c r="U64" s="39"/>
      <c r="V64" s="39"/>
      <c r="W64" s="39"/>
      <c r="X64" s="39"/>
      <c r="Y64" s="39"/>
    </row>
    <row r="65" spans="1:25" ht="18" thickTop="1" x14ac:dyDescent="0.3">
      <c r="A65" s="43"/>
      <c r="B65" s="2"/>
      <c r="C65" s="2"/>
      <c r="F65" s="51"/>
      <c r="G65" s="41"/>
      <c r="H65" s="41"/>
      <c r="I65" s="41"/>
      <c r="J65" s="41"/>
      <c r="K65" s="41"/>
    </row>
    <row r="66" spans="1:25" ht="18.600000000000001" hidden="1" customHeight="1" thickBot="1" x14ac:dyDescent="0.35">
      <c r="A66" s="46" t="s">
        <v>69</v>
      </c>
      <c r="B66" s="46" t="s">
        <v>0</v>
      </c>
      <c r="C66" s="46" t="s">
        <v>1</v>
      </c>
      <c r="D66" s="46" t="s">
        <v>9</v>
      </c>
      <c r="E66" s="46"/>
      <c r="F66" s="47" t="s">
        <v>2</v>
      </c>
      <c r="G66" s="47" t="s">
        <v>3</v>
      </c>
      <c r="H66" s="47">
        <v>0.18</v>
      </c>
      <c r="I66" s="47" t="s">
        <v>4</v>
      </c>
      <c r="J66" s="47">
        <v>0.09</v>
      </c>
      <c r="K66" s="47" t="s">
        <v>5</v>
      </c>
      <c r="M66" s="2"/>
      <c r="N66" s="2"/>
      <c r="Y66" s="2"/>
    </row>
    <row r="67" spans="1:25" ht="18.600000000000001" hidden="1" thickTop="1" thickBot="1" x14ac:dyDescent="0.35">
      <c r="A67" s="37" t="s">
        <v>69</v>
      </c>
      <c r="B67" s="37" t="s">
        <v>37</v>
      </c>
      <c r="C67" s="37" t="s">
        <v>67</v>
      </c>
      <c r="D67" s="37"/>
      <c r="E67" s="37"/>
      <c r="F67" s="38">
        <v>5.9</v>
      </c>
      <c r="G67" s="38">
        <f>E67*F67</f>
        <v>0</v>
      </c>
      <c r="H67" s="38">
        <f>G67*0.1</f>
        <v>0</v>
      </c>
      <c r="I67" s="38">
        <f>SUM(G67:H67)</f>
        <v>0</v>
      </c>
      <c r="J67" s="38">
        <f>G67*0.09</f>
        <v>0</v>
      </c>
      <c r="K67" s="38">
        <f>SUM(G67:H67)</f>
        <v>0</v>
      </c>
      <c r="O67" s="21"/>
      <c r="P67" s="2"/>
      <c r="Q67" s="21"/>
      <c r="R67" s="2"/>
      <c r="S67" s="2"/>
      <c r="T67" s="2"/>
      <c r="U67" s="2"/>
      <c r="V67" s="2"/>
      <c r="W67" s="2"/>
      <c r="X67" s="2"/>
    </row>
    <row r="68" spans="1:25" ht="19.95" hidden="1" customHeight="1" thickTop="1" thickBot="1" x14ac:dyDescent="0.35">
      <c r="A68" s="37" t="s">
        <v>69</v>
      </c>
      <c r="B68" s="37" t="s">
        <v>37</v>
      </c>
      <c r="C68" s="37" t="s">
        <v>67</v>
      </c>
      <c r="D68" s="37"/>
      <c r="E68" s="37"/>
      <c r="F68" s="38">
        <v>13</v>
      </c>
      <c r="G68" s="38">
        <f>E68*F68</f>
        <v>0</v>
      </c>
      <c r="H68" s="38">
        <f t="shared" ref="H68:H69" si="43">G68*0.1</f>
        <v>0</v>
      </c>
      <c r="I68" s="38">
        <f t="shared" ref="I68:I70" si="44">SUM(G68:H68)</f>
        <v>0</v>
      </c>
      <c r="J68" s="38">
        <f>G68*0.1</f>
        <v>0</v>
      </c>
      <c r="K68" s="38">
        <f t="shared" ref="K68:K69" si="45">SUM(G68:H68)</f>
        <v>0</v>
      </c>
    </row>
    <row r="69" spans="1:25" ht="18.600000000000001" hidden="1" thickTop="1" thickBot="1" x14ac:dyDescent="0.35">
      <c r="A69" s="37" t="s">
        <v>69</v>
      </c>
      <c r="B69" s="37" t="s">
        <v>37</v>
      </c>
      <c r="C69" s="37" t="s">
        <v>68</v>
      </c>
      <c r="D69" s="37"/>
      <c r="E69" s="37"/>
      <c r="F69" s="38">
        <v>13</v>
      </c>
      <c r="G69" s="38">
        <f>E69*F69</f>
        <v>0</v>
      </c>
      <c r="H69" s="38">
        <f t="shared" si="43"/>
        <v>0</v>
      </c>
      <c r="I69" s="38">
        <f t="shared" si="44"/>
        <v>0</v>
      </c>
      <c r="J69" s="38">
        <f t="shared" ref="J69" si="46">G69*0.09</f>
        <v>0</v>
      </c>
      <c r="K69" s="38">
        <f t="shared" si="45"/>
        <v>0</v>
      </c>
    </row>
    <row r="70" spans="1:25" ht="18.600000000000001" hidden="1" thickTop="1" thickBot="1" x14ac:dyDescent="0.35">
      <c r="A70" s="37" t="s">
        <v>69</v>
      </c>
      <c r="B70" s="37" t="s">
        <v>37</v>
      </c>
      <c r="C70" s="37" t="s">
        <v>68</v>
      </c>
      <c r="D70" s="37"/>
      <c r="E70" s="37"/>
      <c r="F70" s="38">
        <v>5.9</v>
      </c>
      <c r="G70" s="38">
        <f>E70*F70</f>
        <v>0</v>
      </c>
      <c r="H70" s="38">
        <f t="shared" ref="H70" si="47">G70*0.18</f>
        <v>0</v>
      </c>
      <c r="I70" s="38">
        <f t="shared" si="44"/>
        <v>0</v>
      </c>
      <c r="J70" s="38">
        <f>G70*0.1</f>
        <v>0</v>
      </c>
      <c r="K70" s="38">
        <f t="shared" ref="K70" si="48">G70+J70</f>
        <v>0</v>
      </c>
    </row>
    <row r="71" spans="1:25" s="2" customFormat="1" ht="31.5" hidden="1" customHeight="1" thickTop="1" thickBot="1" x14ac:dyDescent="0.35">
      <c r="A71" s="53"/>
      <c r="B71" s="53"/>
      <c r="C71" s="53"/>
      <c r="D71" s="53"/>
      <c r="E71" s="53"/>
      <c r="F71" s="54"/>
      <c r="G71" s="55">
        <f>SUM(G67:G70)</f>
        <v>0</v>
      </c>
      <c r="H71" s="55">
        <f t="shared" ref="H71:J71" si="49">SUM(H67:H70)</f>
        <v>0</v>
      </c>
      <c r="I71" s="55">
        <f t="shared" si="49"/>
        <v>0</v>
      </c>
      <c r="J71" s="55">
        <f t="shared" si="49"/>
        <v>0</v>
      </c>
      <c r="K71" s="55">
        <f>SUM(K67:K70)</f>
        <v>0</v>
      </c>
      <c r="M71" s="39"/>
      <c r="N71" s="39"/>
      <c r="O71" s="40"/>
      <c r="P71" s="39"/>
      <c r="Q71" s="40"/>
      <c r="R71" s="39"/>
      <c r="S71" s="39"/>
      <c r="T71" s="39"/>
      <c r="U71" s="39"/>
      <c r="V71" s="39"/>
      <c r="W71" s="39"/>
      <c r="X71" s="39"/>
      <c r="Y71" s="39"/>
    </row>
    <row r="73" spans="1:25" ht="18" thickBot="1" x14ac:dyDescent="0.35">
      <c r="A73" s="46" t="s">
        <v>612</v>
      </c>
      <c r="B73" s="46" t="s">
        <v>0</v>
      </c>
      <c r="C73" s="46" t="s">
        <v>1</v>
      </c>
      <c r="D73" s="46" t="s">
        <v>9</v>
      </c>
      <c r="E73" s="46"/>
      <c r="F73" s="47" t="s">
        <v>2</v>
      </c>
      <c r="G73" s="47" t="s">
        <v>3</v>
      </c>
      <c r="H73" s="47">
        <v>0.2</v>
      </c>
      <c r="I73" s="47" t="s">
        <v>4</v>
      </c>
      <c r="J73" s="47">
        <v>0.09</v>
      </c>
      <c r="K73" s="47" t="s">
        <v>5</v>
      </c>
      <c r="M73" s="2"/>
      <c r="N73" s="2"/>
      <c r="Y73" s="2"/>
    </row>
    <row r="74" spans="1:25" s="88" customFormat="1" ht="18.600000000000001" thickTop="1" thickBot="1" x14ac:dyDescent="0.35">
      <c r="A74" s="108" t="s">
        <v>612</v>
      </c>
      <c r="B74" s="108" t="s">
        <v>37</v>
      </c>
      <c r="C74" s="108" t="s">
        <v>250</v>
      </c>
      <c r="D74" s="110" t="s">
        <v>9</v>
      </c>
      <c r="E74" s="108">
        <v>19</v>
      </c>
      <c r="F74" s="109">
        <v>4950</v>
      </c>
      <c r="G74" s="109">
        <f>E74*F74</f>
        <v>94050</v>
      </c>
      <c r="H74" s="109">
        <f>G74*H73</f>
        <v>18810</v>
      </c>
      <c r="I74" s="109">
        <f>SUM(G74:H74)</f>
        <v>112860</v>
      </c>
      <c r="J74" s="109">
        <f>G74*0.1</f>
        <v>9405</v>
      </c>
      <c r="K74" s="109">
        <f>G74+J74</f>
        <v>103455</v>
      </c>
      <c r="O74" s="111"/>
      <c r="P74" s="94"/>
      <c r="Q74" s="111"/>
      <c r="R74" s="94"/>
      <c r="S74" s="94"/>
      <c r="T74" s="94"/>
      <c r="U74" s="94"/>
      <c r="V74" s="94"/>
      <c r="W74" s="94"/>
      <c r="X74" s="94"/>
    </row>
    <row r="75" spans="1:25" s="88" customFormat="1" ht="18.600000000000001" thickTop="1" thickBot="1" x14ac:dyDescent="0.35">
      <c r="A75" s="108" t="s">
        <v>612</v>
      </c>
      <c r="B75" s="108" t="s">
        <v>37</v>
      </c>
      <c r="C75" s="108" t="s">
        <v>71</v>
      </c>
      <c r="D75" s="110" t="s">
        <v>9</v>
      </c>
      <c r="E75" s="108">
        <v>19</v>
      </c>
      <c r="F75" s="109">
        <v>4950</v>
      </c>
      <c r="G75" s="112">
        <f>E75*F75</f>
        <v>94050</v>
      </c>
      <c r="H75" s="112">
        <f>G75*0.2</f>
        <v>18810</v>
      </c>
      <c r="I75" s="112">
        <f>SUM(G75:H75)</f>
        <v>112860</v>
      </c>
      <c r="J75" s="109">
        <f>G75*0.1</f>
        <v>9405</v>
      </c>
      <c r="K75" s="112">
        <f>G75+J75</f>
        <v>103455</v>
      </c>
      <c r="O75" s="89"/>
      <c r="Q75" s="89"/>
    </row>
    <row r="76" spans="1:25" s="2" customFormat="1" ht="31.5" customHeight="1" thickTop="1" thickBot="1" x14ac:dyDescent="0.35">
      <c r="A76" s="53"/>
      <c r="B76" s="53"/>
      <c r="C76" s="53"/>
      <c r="D76" s="53"/>
      <c r="E76" s="53"/>
      <c r="F76" s="57"/>
      <c r="G76" s="58">
        <f>SUM(G74:G75)</f>
        <v>188100</v>
      </c>
      <c r="H76" s="58">
        <f>G76*0.18</f>
        <v>33858</v>
      </c>
      <c r="I76" s="58">
        <f>SUM(G76:H76)</f>
        <v>221958</v>
      </c>
      <c r="J76" s="58">
        <f>SUM(J74:J75)</f>
        <v>18810</v>
      </c>
      <c r="K76" s="58">
        <f>G76+J76</f>
        <v>206910</v>
      </c>
      <c r="M76" s="39"/>
      <c r="N76" s="39"/>
      <c r="O76" s="40"/>
      <c r="P76" s="39"/>
      <c r="Q76" s="40"/>
      <c r="R76" s="39"/>
      <c r="S76" s="39"/>
      <c r="T76" s="39"/>
      <c r="U76" s="39"/>
      <c r="V76" s="39"/>
      <c r="W76" s="39"/>
      <c r="X76" s="39"/>
      <c r="Y76" s="39"/>
    </row>
    <row r="77" spans="1:25" ht="18" thickTop="1" x14ac:dyDescent="0.3"/>
    <row r="78" spans="1:25" ht="18" thickBot="1" x14ac:dyDescent="0.35">
      <c r="A78" s="46" t="s">
        <v>613</v>
      </c>
      <c r="B78" s="46" t="s">
        <v>0</v>
      </c>
      <c r="C78" s="46" t="s">
        <v>1</v>
      </c>
      <c r="D78" s="46" t="s">
        <v>9</v>
      </c>
      <c r="E78" s="59"/>
      <c r="F78" s="47" t="s">
        <v>2</v>
      </c>
      <c r="G78" s="47" t="s">
        <v>3</v>
      </c>
      <c r="H78" s="47">
        <v>0.2</v>
      </c>
      <c r="I78" s="47" t="s">
        <v>4</v>
      </c>
      <c r="J78" s="47">
        <v>0.1</v>
      </c>
      <c r="K78" s="47" t="s">
        <v>5</v>
      </c>
      <c r="M78" s="2"/>
      <c r="N78" s="2"/>
      <c r="Y78" s="2"/>
    </row>
    <row r="79" spans="1:25" s="88" customFormat="1" ht="18.600000000000001" thickTop="1" thickBot="1" x14ac:dyDescent="0.35">
      <c r="A79" s="108" t="s">
        <v>76</v>
      </c>
      <c r="B79" s="108" t="s">
        <v>37</v>
      </c>
      <c r="C79" s="108" t="s">
        <v>67</v>
      </c>
      <c r="D79" s="108" t="s">
        <v>77</v>
      </c>
      <c r="E79" s="108">
        <v>22</v>
      </c>
      <c r="F79" s="109">
        <v>1900</v>
      </c>
      <c r="G79" s="109">
        <f t="shared" ref="G79:G91" si="50">E79*F79</f>
        <v>41800</v>
      </c>
      <c r="H79" s="109">
        <f>G79*0.2</f>
        <v>8360</v>
      </c>
      <c r="I79" s="109">
        <f>SUM(G79:H79)</f>
        <v>50160</v>
      </c>
      <c r="J79" s="109">
        <f>G79*0.1</f>
        <v>4180</v>
      </c>
      <c r="K79" s="109">
        <f>G79+H79-J79</f>
        <v>45980</v>
      </c>
      <c r="L79" s="117">
        <f>SUM(K81:K87)</f>
        <v>142070.5</v>
      </c>
      <c r="O79" s="111"/>
      <c r="P79" s="94"/>
      <c r="Q79" s="111"/>
      <c r="R79" s="94"/>
      <c r="S79" s="94"/>
      <c r="T79" s="94"/>
      <c r="U79" s="94"/>
      <c r="V79" s="94"/>
      <c r="W79" s="94"/>
      <c r="X79" s="94"/>
    </row>
    <row r="80" spans="1:25" s="88" customFormat="1" ht="18.600000000000001" thickTop="1" thickBot="1" x14ac:dyDescent="0.35">
      <c r="A80" s="108" t="s">
        <v>76</v>
      </c>
      <c r="B80" s="108" t="s">
        <v>37</v>
      </c>
      <c r="C80" s="108" t="s">
        <v>67</v>
      </c>
      <c r="D80" s="108" t="s">
        <v>47</v>
      </c>
      <c r="E80" s="108">
        <v>16</v>
      </c>
      <c r="F80" s="109">
        <v>1675</v>
      </c>
      <c r="G80" s="109">
        <f t="shared" si="50"/>
        <v>26800</v>
      </c>
      <c r="H80" s="109">
        <f t="shared" ref="H80:H91" si="51">G80*0.2</f>
        <v>5360</v>
      </c>
      <c r="I80" s="109">
        <f t="shared" ref="I80:I90" si="52">SUM(G80:H80)</f>
        <v>32160</v>
      </c>
      <c r="J80" s="109">
        <f t="shared" ref="J80:J90" si="53">G80*0.1</f>
        <v>2680</v>
      </c>
      <c r="K80" s="109">
        <f t="shared" ref="K80:K90" si="54">G80+H80-J80</f>
        <v>29480</v>
      </c>
      <c r="L80" s="118"/>
      <c r="O80" s="89"/>
      <c r="Q80" s="89"/>
    </row>
    <row r="81" spans="1:25" s="88" customFormat="1" ht="18.600000000000001" customHeight="1" thickTop="1" thickBot="1" x14ac:dyDescent="0.35">
      <c r="A81" s="108" t="s">
        <v>555</v>
      </c>
      <c r="B81" s="108" t="s">
        <v>37</v>
      </c>
      <c r="C81" s="108" t="s">
        <v>554</v>
      </c>
      <c r="D81" s="108" t="s">
        <v>77</v>
      </c>
      <c r="E81" s="108">
        <v>5</v>
      </c>
      <c r="F81" s="109">
        <v>1900</v>
      </c>
      <c r="G81" s="109">
        <f t="shared" si="50"/>
        <v>9500</v>
      </c>
      <c r="H81" s="109">
        <f t="shared" si="51"/>
        <v>1900</v>
      </c>
      <c r="I81" s="109">
        <f t="shared" si="52"/>
        <v>11400</v>
      </c>
      <c r="J81" s="109">
        <f t="shared" si="53"/>
        <v>950</v>
      </c>
      <c r="K81" s="109">
        <f t="shared" si="54"/>
        <v>10450</v>
      </c>
      <c r="L81" s="118"/>
      <c r="O81" s="89"/>
      <c r="Q81" s="89"/>
    </row>
    <row r="82" spans="1:25" s="88" customFormat="1" ht="18.600000000000001" customHeight="1" thickTop="1" thickBot="1" x14ac:dyDescent="0.35">
      <c r="A82" s="108" t="s">
        <v>555</v>
      </c>
      <c r="B82" s="108" t="s">
        <v>37</v>
      </c>
      <c r="C82" s="108" t="s">
        <v>554</v>
      </c>
      <c r="D82" s="108" t="s">
        <v>47</v>
      </c>
      <c r="E82" s="108">
        <v>13</v>
      </c>
      <c r="F82" s="109">
        <v>1675</v>
      </c>
      <c r="G82" s="109">
        <f t="shared" ref="G82" si="55">E82*F82</f>
        <v>21775</v>
      </c>
      <c r="H82" s="109">
        <f t="shared" ref="H82" si="56">G82*0.2</f>
        <v>4355</v>
      </c>
      <c r="I82" s="109">
        <f t="shared" ref="I82" si="57">SUM(G82:H82)</f>
        <v>26130</v>
      </c>
      <c r="J82" s="109">
        <f t="shared" ref="J82" si="58">G82*0.1</f>
        <v>2177.5</v>
      </c>
      <c r="K82" s="109">
        <f t="shared" ref="K82" si="59">G82+H82-J82</f>
        <v>23952.5</v>
      </c>
      <c r="L82" s="118"/>
      <c r="O82" s="89"/>
      <c r="Q82" s="89"/>
    </row>
    <row r="83" spans="1:25" s="88" customFormat="1" ht="18.600000000000001" thickTop="1" thickBot="1" x14ac:dyDescent="0.35">
      <c r="A83" s="108" t="s">
        <v>94</v>
      </c>
      <c r="B83" s="108" t="s">
        <v>37</v>
      </c>
      <c r="C83" s="108" t="s">
        <v>95</v>
      </c>
      <c r="D83" s="108" t="s">
        <v>77</v>
      </c>
      <c r="E83" s="108">
        <v>45</v>
      </c>
      <c r="F83" s="109">
        <v>1660</v>
      </c>
      <c r="G83" s="109">
        <f t="shared" si="50"/>
        <v>74700</v>
      </c>
      <c r="H83" s="109">
        <f t="shared" si="51"/>
        <v>14940</v>
      </c>
      <c r="I83" s="109">
        <f t="shared" si="52"/>
        <v>89640</v>
      </c>
      <c r="J83" s="109">
        <f t="shared" si="53"/>
        <v>7470</v>
      </c>
      <c r="K83" s="109">
        <f t="shared" si="54"/>
        <v>82170</v>
      </c>
      <c r="L83" s="118"/>
      <c r="O83" s="89"/>
      <c r="Q83" s="89"/>
    </row>
    <row r="84" spans="1:25" s="88" customFormat="1" ht="18.600000000000001" thickTop="1" thickBot="1" x14ac:dyDescent="0.35">
      <c r="A84" s="108" t="s">
        <v>97</v>
      </c>
      <c r="B84" s="108" t="s">
        <v>37</v>
      </c>
      <c r="C84" s="108" t="s">
        <v>95</v>
      </c>
      <c r="D84" s="108" t="s">
        <v>47</v>
      </c>
      <c r="E84" s="108">
        <v>12</v>
      </c>
      <c r="F84" s="109">
        <v>1365</v>
      </c>
      <c r="G84" s="109">
        <f>E84*F84</f>
        <v>16380</v>
      </c>
      <c r="H84" s="109">
        <f>G84*0.2</f>
        <v>3276</v>
      </c>
      <c r="I84" s="109">
        <f>SUM(G84:H84)</f>
        <v>19656</v>
      </c>
      <c r="J84" s="109">
        <f>G84*0.1</f>
        <v>1638</v>
      </c>
      <c r="K84" s="109">
        <f>G84+H84-J84</f>
        <v>18018</v>
      </c>
      <c r="O84" s="89"/>
      <c r="Q84" s="89"/>
    </row>
    <row r="85" spans="1:25" s="88" customFormat="1" ht="18.600000000000001" thickTop="1" thickBot="1" x14ac:dyDescent="0.35">
      <c r="A85" s="108" t="s">
        <v>94</v>
      </c>
      <c r="B85" s="108" t="s">
        <v>37</v>
      </c>
      <c r="C85" s="108" t="s">
        <v>95</v>
      </c>
      <c r="D85" s="108" t="s">
        <v>47</v>
      </c>
      <c r="E85" s="108">
        <v>1</v>
      </c>
      <c r="F85" s="109">
        <v>1700</v>
      </c>
      <c r="G85" s="109">
        <f t="shared" si="50"/>
        <v>1700</v>
      </c>
      <c r="H85" s="109">
        <f t="shared" si="51"/>
        <v>340</v>
      </c>
      <c r="I85" s="109">
        <f t="shared" si="52"/>
        <v>2040</v>
      </c>
      <c r="J85" s="109">
        <f t="shared" si="53"/>
        <v>170</v>
      </c>
      <c r="K85" s="109">
        <f t="shared" si="54"/>
        <v>1870</v>
      </c>
      <c r="L85" s="118"/>
      <c r="O85" s="89"/>
      <c r="Q85" s="89"/>
    </row>
    <row r="86" spans="1:25" s="88" customFormat="1" ht="18.600000000000001" thickTop="1" thickBot="1" x14ac:dyDescent="0.35">
      <c r="A86" s="108" t="s">
        <v>96</v>
      </c>
      <c r="B86" s="108" t="s">
        <v>37</v>
      </c>
      <c r="C86" s="108" t="s">
        <v>95</v>
      </c>
      <c r="D86" s="108" t="s">
        <v>215</v>
      </c>
      <c r="E86" s="108">
        <v>30</v>
      </c>
      <c r="F86" s="109">
        <v>170</v>
      </c>
      <c r="G86" s="109">
        <f t="shared" si="50"/>
        <v>5100</v>
      </c>
      <c r="H86" s="109">
        <f t="shared" si="51"/>
        <v>1020</v>
      </c>
      <c r="I86" s="109">
        <f t="shared" si="52"/>
        <v>6120</v>
      </c>
      <c r="J86" s="109">
        <f t="shared" si="53"/>
        <v>510</v>
      </c>
      <c r="K86" s="109">
        <f t="shared" si="54"/>
        <v>5610</v>
      </c>
      <c r="O86" s="89"/>
      <c r="Q86" s="89"/>
    </row>
    <row r="87" spans="1:25" s="88" customFormat="1" ht="18.600000000000001" hidden="1" thickTop="1" thickBot="1" x14ac:dyDescent="0.35">
      <c r="A87" s="108" t="s">
        <v>96</v>
      </c>
      <c r="B87" s="108" t="s">
        <v>37</v>
      </c>
      <c r="C87" s="108" t="s">
        <v>95</v>
      </c>
      <c r="D87" s="108" t="s">
        <v>47</v>
      </c>
      <c r="E87" s="108"/>
      <c r="F87" s="109"/>
      <c r="G87" s="109">
        <f t="shared" si="50"/>
        <v>0</v>
      </c>
      <c r="H87" s="109">
        <f t="shared" si="51"/>
        <v>0</v>
      </c>
      <c r="I87" s="109">
        <f t="shared" ref="I87" si="60">SUM(G87:H87)</f>
        <v>0</v>
      </c>
      <c r="J87" s="109">
        <f t="shared" si="53"/>
        <v>0</v>
      </c>
      <c r="K87" s="109">
        <f t="shared" si="54"/>
        <v>0</v>
      </c>
      <c r="O87" s="89"/>
      <c r="Q87" s="89"/>
    </row>
    <row r="88" spans="1:25" s="88" customFormat="1" ht="18.600000000000001" hidden="1" thickTop="1" thickBot="1" x14ac:dyDescent="0.35">
      <c r="A88" s="108" t="s">
        <v>260</v>
      </c>
      <c r="B88" s="108" t="s">
        <v>37</v>
      </c>
      <c r="C88" s="108" t="s">
        <v>95</v>
      </c>
      <c r="D88" s="108" t="s">
        <v>275</v>
      </c>
      <c r="E88" s="108"/>
      <c r="F88" s="109"/>
      <c r="G88" s="109">
        <f>E88*F88</f>
        <v>0</v>
      </c>
      <c r="H88" s="109">
        <f t="shared" si="51"/>
        <v>0</v>
      </c>
      <c r="I88" s="109">
        <f>SUM(G88:H88)</f>
        <v>0</v>
      </c>
      <c r="J88" s="109">
        <f t="shared" si="53"/>
        <v>0</v>
      </c>
      <c r="K88" s="109">
        <f t="shared" si="54"/>
        <v>0</v>
      </c>
      <c r="O88" s="89"/>
      <c r="Q88" s="89"/>
    </row>
    <row r="89" spans="1:25" s="88" customFormat="1" ht="18.600000000000001" customHeight="1" thickTop="1" thickBot="1" x14ac:dyDescent="0.35">
      <c r="A89" s="108" t="s">
        <v>100</v>
      </c>
      <c r="B89" s="108" t="s">
        <v>37</v>
      </c>
      <c r="C89" s="108" t="s">
        <v>118</v>
      </c>
      <c r="D89" s="108" t="s">
        <v>77</v>
      </c>
      <c r="E89" s="108"/>
      <c r="F89" s="109">
        <v>1900</v>
      </c>
      <c r="G89" s="109">
        <f t="shared" si="50"/>
        <v>0</v>
      </c>
      <c r="H89" s="109">
        <f t="shared" si="51"/>
        <v>0</v>
      </c>
      <c r="I89" s="109">
        <f t="shared" si="52"/>
        <v>0</v>
      </c>
      <c r="J89" s="109">
        <f t="shared" si="53"/>
        <v>0</v>
      </c>
      <c r="K89" s="109">
        <f t="shared" si="54"/>
        <v>0</v>
      </c>
      <c r="O89" s="89"/>
      <c r="Q89" s="89"/>
    </row>
    <row r="90" spans="1:25" s="88" customFormat="1" ht="18.600000000000001" thickTop="1" thickBot="1" x14ac:dyDescent="0.35">
      <c r="A90" s="108" t="s">
        <v>100</v>
      </c>
      <c r="B90" s="108" t="s">
        <v>37</v>
      </c>
      <c r="C90" s="108" t="s">
        <v>118</v>
      </c>
      <c r="D90" s="108" t="s">
        <v>47</v>
      </c>
      <c r="E90" s="108">
        <v>32</v>
      </c>
      <c r="F90" s="109">
        <v>1675</v>
      </c>
      <c r="G90" s="109">
        <f t="shared" si="50"/>
        <v>53600</v>
      </c>
      <c r="H90" s="109">
        <f t="shared" si="51"/>
        <v>10720</v>
      </c>
      <c r="I90" s="109">
        <f t="shared" si="52"/>
        <v>64320</v>
      </c>
      <c r="J90" s="109">
        <f t="shared" si="53"/>
        <v>5360</v>
      </c>
      <c r="K90" s="109">
        <f t="shared" si="54"/>
        <v>58960</v>
      </c>
      <c r="O90" s="89"/>
      <c r="Q90" s="89"/>
    </row>
    <row r="91" spans="1:25" s="88" customFormat="1" ht="18.600000000000001" hidden="1" thickTop="1" thickBot="1" x14ac:dyDescent="0.35">
      <c r="A91" s="119" t="s">
        <v>259</v>
      </c>
      <c r="B91" s="119" t="s">
        <v>37</v>
      </c>
      <c r="C91" s="119" t="s">
        <v>119</v>
      </c>
      <c r="D91" s="119" t="s">
        <v>275</v>
      </c>
      <c r="E91" s="119"/>
      <c r="F91" s="120">
        <v>1150</v>
      </c>
      <c r="G91" s="120">
        <f t="shared" si="50"/>
        <v>0</v>
      </c>
      <c r="H91" s="121">
        <f t="shared" si="51"/>
        <v>0</v>
      </c>
      <c r="I91" s="120"/>
      <c r="J91" s="120"/>
      <c r="K91" s="120">
        <f t="shared" ref="K91" si="61">SUM(G91:H91)</f>
        <v>0</v>
      </c>
      <c r="O91" s="89"/>
      <c r="Q91" s="89"/>
    </row>
    <row r="92" spans="1:25" s="88" customFormat="1" ht="25.2" hidden="1" customHeight="1" thickTop="1" x14ac:dyDescent="0.3">
      <c r="A92" s="113"/>
      <c r="B92" s="113"/>
      <c r="C92" s="113"/>
      <c r="D92" s="113"/>
      <c r="E92" s="113"/>
      <c r="F92" s="114"/>
      <c r="G92" s="114"/>
      <c r="H92" s="114"/>
      <c r="I92" s="114"/>
      <c r="J92" s="114"/>
      <c r="K92" s="114"/>
      <c r="O92" s="89"/>
      <c r="Q92" s="89"/>
    </row>
    <row r="93" spans="1:25" s="94" customFormat="1" ht="31.5" customHeight="1" thickTop="1" thickBot="1" x14ac:dyDescent="0.35">
      <c r="A93" s="29"/>
      <c r="B93" s="29"/>
      <c r="C93" s="29"/>
      <c r="D93" s="29"/>
      <c r="E93" s="29"/>
      <c r="F93" s="115"/>
      <c r="G93" s="116">
        <f>SUM(G79:G92)</f>
        <v>251355</v>
      </c>
      <c r="H93" s="116">
        <f>SUM(H79:H92)</f>
        <v>50271</v>
      </c>
      <c r="I93" s="116">
        <f>SUM(I79:I92)</f>
        <v>301626</v>
      </c>
      <c r="J93" s="116">
        <f>SUM(J79:J92)</f>
        <v>25135.5</v>
      </c>
      <c r="K93" s="116">
        <f>SUM(K79:K92)</f>
        <v>276490.5</v>
      </c>
      <c r="M93" s="88"/>
      <c r="N93" s="88"/>
      <c r="O93" s="89"/>
      <c r="P93" s="88"/>
      <c r="Q93" s="89"/>
      <c r="R93" s="88"/>
      <c r="S93" s="88"/>
      <c r="T93" s="88"/>
      <c r="U93" s="88"/>
      <c r="V93" s="88"/>
      <c r="W93" s="88"/>
      <c r="X93" s="88"/>
      <c r="Y93" s="88"/>
    </row>
    <row r="94" spans="1:25" ht="18" thickTop="1" x14ac:dyDescent="0.3"/>
    <row r="95" spans="1:25" ht="20.399999999999999" customHeight="1" thickBot="1" x14ac:dyDescent="0.35">
      <c r="A95" s="61" t="s">
        <v>614</v>
      </c>
      <c r="B95" s="61" t="s">
        <v>0</v>
      </c>
      <c r="C95" s="61" t="s">
        <v>1</v>
      </c>
      <c r="D95" s="61" t="s">
        <v>9</v>
      </c>
      <c r="E95" s="62"/>
      <c r="F95" s="63" t="s">
        <v>2</v>
      </c>
      <c r="G95" s="63" t="s">
        <v>3</v>
      </c>
      <c r="H95" s="87">
        <v>0.2</v>
      </c>
      <c r="I95" s="63" t="s">
        <v>4</v>
      </c>
      <c r="J95" s="87">
        <v>0.1</v>
      </c>
      <c r="K95" s="63" t="s">
        <v>5</v>
      </c>
      <c r="M95" s="2"/>
      <c r="N95" s="2"/>
      <c r="Y95" s="2"/>
    </row>
    <row r="96" spans="1:25" s="88" customFormat="1" ht="20.399999999999999" customHeight="1" thickTop="1" thickBot="1" x14ac:dyDescent="0.35">
      <c r="A96" s="108" t="s">
        <v>120</v>
      </c>
      <c r="B96" s="108" t="s">
        <v>37</v>
      </c>
      <c r="C96" s="108" t="s">
        <v>39</v>
      </c>
      <c r="D96" s="108" t="s">
        <v>28</v>
      </c>
      <c r="E96" s="108">
        <v>42</v>
      </c>
      <c r="F96" s="109">
        <v>970</v>
      </c>
      <c r="G96" s="109">
        <f t="shared" ref="G96:G109" si="62">E96*F96</f>
        <v>40740</v>
      </c>
      <c r="H96" s="109">
        <f>G96*H95</f>
        <v>8148</v>
      </c>
      <c r="I96" s="109">
        <f t="shared" ref="I96:I109" si="63">SUM(G96:H96)</f>
        <v>48888</v>
      </c>
      <c r="J96" s="109">
        <f>G96*0.1</f>
        <v>4074</v>
      </c>
      <c r="K96" s="112">
        <f>G96+H96-J96</f>
        <v>44814</v>
      </c>
      <c r="O96" s="111"/>
      <c r="P96" s="94"/>
      <c r="Q96" s="111"/>
      <c r="R96" s="94"/>
      <c r="S96" s="94"/>
      <c r="T96" s="94"/>
      <c r="U96" s="94"/>
      <c r="V96" s="94"/>
      <c r="W96" s="94"/>
      <c r="X96" s="94"/>
    </row>
    <row r="97" spans="1:17" s="88" customFormat="1" ht="22.95" customHeight="1" thickTop="1" thickBot="1" x14ac:dyDescent="0.35">
      <c r="A97" s="108" t="s">
        <v>120</v>
      </c>
      <c r="B97" s="108" t="s">
        <v>37</v>
      </c>
      <c r="C97" s="108" t="s">
        <v>39</v>
      </c>
      <c r="D97" s="108" t="s">
        <v>264</v>
      </c>
      <c r="E97" s="108">
        <v>42</v>
      </c>
      <c r="F97" s="109">
        <v>2150</v>
      </c>
      <c r="G97" s="109">
        <f t="shared" si="62"/>
        <v>90300</v>
      </c>
      <c r="H97" s="109">
        <f>G97*0.02</f>
        <v>1806</v>
      </c>
      <c r="I97" s="109">
        <f t="shared" si="63"/>
        <v>92106</v>
      </c>
      <c r="J97" s="109">
        <f t="shared" ref="J97:J109" si="64">G97*0.1</f>
        <v>9030</v>
      </c>
      <c r="K97" s="112">
        <f t="shared" ref="K97:K109" si="65">G97+H97-J97</f>
        <v>83076</v>
      </c>
      <c r="O97" s="89"/>
      <c r="Q97" s="89"/>
    </row>
    <row r="98" spans="1:17" s="88" customFormat="1" ht="22.95" customHeight="1" thickTop="1" thickBot="1" x14ac:dyDescent="0.35">
      <c r="A98" s="108" t="s">
        <v>287</v>
      </c>
      <c r="B98" s="108" t="s">
        <v>37</v>
      </c>
      <c r="C98" s="108" t="s">
        <v>68</v>
      </c>
      <c r="D98" s="108" t="s">
        <v>28</v>
      </c>
      <c r="E98" s="108"/>
      <c r="F98" s="109"/>
      <c r="G98" s="109">
        <f t="shared" si="62"/>
        <v>0</v>
      </c>
      <c r="H98" s="109">
        <f>G98*0.2</f>
        <v>0</v>
      </c>
      <c r="I98" s="109">
        <f t="shared" si="63"/>
        <v>0</v>
      </c>
      <c r="J98" s="109">
        <f t="shared" si="64"/>
        <v>0</v>
      </c>
      <c r="K98" s="112">
        <f t="shared" si="65"/>
        <v>0</v>
      </c>
      <c r="O98" s="89"/>
      <c r="Q98" s="89"/>
    </row>
    <row r="99" spans="1:17" s="88" customFormat="1" ht="20.399999999999999" customHeight="1" thickTop="1" thickBot="1" x14ac:dyDescent="0.35">
      <c r="A99" s="108" t="s">
        <v>519</v>
      </c>
      <c r="B99" s="108" t="s">
        <v>37</v>
      </c>
      <c r="C99" s="108" t="s">
        <v>101</v>
      </c>
      <c r="D99" s="108" t="s">
        <v>291</v>
      </c>
      <c r="E99" s="108">
        <v>42</v>
      </c>
      <c r="F99" s="109">
        <v>1675</v>
      </c>
      <c r="G99" s="109">
        <f t="shared" si="62"/>
        <v>70350</v>
      </c>
      <c r="H99" s="109">
        <f>G99*0.2</f>
        <v>14070</v>
      </c>
      <c r="I99" s="109">
        <f t="shared" ref="I99" si="66">SUM(G99:H99)</f>
        <v>84420</v>
      </c>
      <c r="J99" s="109">
        <f t="shared" si="64"/>
        <v>7035</v>
      </c>
      <c r="K99" s="112">
        <f t="shared" si="65"/>
        <v>77385</v>
      </c>
      <c r="O99" s="89"/>
      <c r="Q99" s="89"/>
    </row>
    <row r="100" spans="1:17" s="88" customFormat="1" ht="20.399999999999999" customHeight="1" thickTop="1" thickBot="1" x14ac:dyDescent="0.35">
      <c r="A100" s="108" t="s">
        <v>121</v>
      </c>
      <c r="B100" s="108" t="s">
        <v>37</v>
      </c>
      <c r="C100" s="108" t="s">
        <v>118</v>
      </c>
      <c r="D100" s="108" t="s">
        <v>258</v>
      </c>
      <c r="E100" s="108"/>
      <c r="F100" s="109"/>
      <c r="G100" s="109">
        <f t="shared" si="62"/>
        <v>0</v>
      </c>
      <c r="H100" s="109">
        <f t="shared" ref="H100:H101" si="67">G100*0.2</f>
        <v>0</v>
      </c>
      <c r="I100" s="109">
        <f t="shared" si="63"/>
        <v>0</v>
      </c>
      <c r="J100" s="109">
        <f t="shared" si="64"/>
        <v>0</v>
      </c>
      <c r="K100" s="112">
        <f t="shared" si="65"/>
        <v>0</v>
      </c>
      <c r="O100" s="89"/>
      <c r="Q100" s="89"/>
    </row>
    <row r="101" spans="1:17" s="88" customFormat="1" ht="19.2" customHeight="1" thickTop="1" thickBot="1" x14ac:dyDescent="0.35">
      <c r="A101" s="108" t="s">
        <v>263</v>
      </c>
      <c r="B101" s="108" t="s">
        <v>37</v>
      </c>
      <c r="C101" s="108" t="s">
        <v>145</v>
      </c>
      <c r="D101" s="108" t="s">
        <v>103</v>
      </c>
      <c r="E101" s="108"/>
      <c r="F101" s="109"/>
      <c r="G101" s="109">
        <f t="shared" si="62"/>
        <v>0</v>
      </c>
      <c r="H101" s="109">
        <f t="shared" si="67"/>
        <v>0</v>
      </c>
      <c r="I101" s="109"/>
      <c r="J101" s="109">
        <f t="shared" si="64"/>
        <v>0</v>
      </c>
      <c r="K101" s="112">
        <f t="shared" si="65"/>
        <v>0</v>
      </c>
      <c r="O101" s="89"/>
      <c r="Q101" s="89"/>
    </row>
    <row r="102" spans="1:17" s="88" customFormat="1" ht="18.600000000000001" thickTop="1" thickBot="1" x14ac:dyDescent="0.35">
      <c r="A102" s="108" t="s">
        <v>222</v>
      </c>
      <c r="B102" s="108" t="s">
        <v>37</v>
      </c>
      <c r="C102" s="108" t="s">
        <v>117</v>
      </c>
      <c r="D102" s="108" t="s">
        <v>320</v>
      </c>
      <c r="E102" s="108"/>
      <c r="F102" s="109">
        <v>2150</v>
      </c>
      <c r="G102" s="109">
        <f>E102*F102</f>
        <v>0</v>
      </c>
      <c r="H102" s="109">
        <f>G102*0.2</f>
        <v>0</v>
      </c>
      <c r="I102" s="109">
        <f t="shared" ref="I102:I104" si="68">SUM(G102:H102)</f>
        <v>0</v>
      </c>
      <c r="J102" s="109">
        <f t="shared" si="64"/>
        <v>0</v>
      </c>
      <c r="K102" s="112">
        <f t="shared" si="65"/>
        <v>0</v>
      </c>
      <c r="O102" s="89"/>
      <c r="Q102" s="89"/>
    </row>
    <row r="103" spans="1:17" s="88" customFormat="1" ht="19.95" customHeight="1" thickTop="1" thickBot="1" x14ac:dyDescent="0.35">
      <c r="A103" s="108" t="s">
        <v>122</v>
      </c>
      <c r="B103" s="108" t="s">
        <v>37</v>
      </c>
      <c r="C103" s="108" t="s">
        <v>118</v>
      </c>
      <c r="D103" s="108" t="s">
        <v>226</v>
      </c>
      <c r="E103" s="108"/>
      <c r="F103" s="109"/>
      <c r="G103" s="109">
        <f t="shared" ref="G103:G104" si="69">E103*F103</f>
        <v>0</v>
      </c>
      <c r="H103" s="109">
        <f t="shared" ref="H103:H104" si="70">G103*0.2</f>
        <v>0</v>
      </c>
      <c r="I103" s="109">
        <f t="shared" si="68"/>
        <v>0</v>
      </c>
      <c r="J103" s="109">
        <f t="shared" si="64"/>
        <v>0</v>
      </c>
      <c r="K103" s="112">
        <f t="shared" si="65"/>
        <v>0</v>
      </c>
      <c r="O103" s="89"/>
      <c r="Q103" s="89"/>
    </row>
    <row r="104" spans="1:17" s="88" customFormat="1" ht="19.95" customHeight="1" thickTop="1" thickBot="1" x14ac:dyDescent="0.35">
      <c r="A104" s="108" t="s">
        <v>319</v>
      </c>
      <c r="B104" s="108" t="s">
        <v>37</v>
      </c>
      <c r="C104" s="108" t="s">
        <v>118</v>
      </c>
      <c r="D104" s="108" t="s">
        <v>301</v>
      </c>
      <c r="E104" s="108"/>
      <c r="F104" s="109"/>
      <c r="G104" s="109">
        <f t="shared" si="69"/>
        <v>0</v>
      </c>
      <c r="H104" s="109">
        <f t="shared" si="70"/>
        <v>0</v>
      </c>
      <c r="I104" s="109">
        <f t="shared" si="68"/>
        <v>0</v>
      </c>
      <c r="J104" s="109">
        <f t="shared" si="64"/>
        <v>0</v>
      </c>
      <c r="K104" s="112">
        <f t="shared" si="65"/>
        <v>0</v>
      </c>
      <c r="O104" s="89"/>
      <c r="Q104" s="89"/>
    </row>
    <row r="105" spans="1:17" s="88" customFormat="1" ht="18.600000000000001" hidden="1" thickTop="1" thickBot="1" x14ac:dyDescent="0.35">
      <c r="A105" s="108" t="s">
        <v>124</v>
      </c>
      <c r="B105" s="108" t="s">
        <v>37</v>
      </c>
      <c r="C105" s="108" t="s">
        <v>118</v>
      </c>
      <c r="D105" s="108" t="s">
        <v>226</v>
      </c>
      <c r="E105" s="108"/>
      <c r="F105" s="109"/>
      <c r="G105" s="109">
        <f t="shared" si="62"/>
        <v>0</v>
      </c>
      <c r="H105" s="109">
        <f t="shared" ref="H105" si="71">G105*0.2</f>
        <v>0</v>
      </c>
      <c r="I105" s="109">
        <f>SUM(G105:H105)</f>
        <v>0</v>
      </c>
      <c r="J105" s="109">
        <f t="shared" si="64"/>
        <v>0</v>
      </c>
      <c r="K105" s="112">
        <f t="shared" si="65"/>
        <v>0</v>
      </c>
      <c r="O105" s="89"/>
      <c r="Q105" s="89"/>
    </row>
    <row r="106" spans="1:17" s="88" customFormat="1" ht="19.2" hidden="1" customHeight="1" thickTop="1" thickBot="1" x14ac:dyDescent="0.35">
      <c r="A106" s="108" t="s">
        <v>224</v>
      </c>
      <c r="B106" s="108" t="s">
        <v>37</v>
      </c>
      <c r="C106" s="108" t="s">
        <v>161</v>
      </c>
      <c r="D106" s="108" t="s">
        <v>225</v>
      </c>
      <c r="E106" s="108"/>
      <c r="F106" s="109"/>
      <c r="G106" s="109">
        <f t="shared" si="62"/>
        <v>0</v>
      </c>
      <c r="H106" s="109">
        <f>G106*0.2</f>
        <v>0</v>
      </c>
      <c r="I106" s="109">
        <f>SUM(G106:H106)</f>
        <v>0</v>
      </c>
      <c r="J106" s="109">
        <f t="shared" si="64"/>
        <v>0</v>
      </c>
      <c r="K106" s="112">
        <f t="shared" si="65"/>
        <v>0</v>
      </c>
      <c r="O106" s="89"/>
      <c r="Q106" s="89"/>
    </row>
    <row r="107" spans="1:17" s="88" customFormat="1" ht="18.600000000000001" thickTop="1" thickBot="1" x14ac:dyDescent="0.35">
      <c r="A107" s="177" t="s">
        <v>123</v>
      </c>
      <c r="B107" s="177" t="s">
        <v>37</v>
      </c>
      <c r="C107" s="177" t="s">
        <v>196</v>
      </c>
      <c r="D107" s="177" t="s">
        <v>291</v>
      </c>
      <c r="E107" s="177">
        <v>36</v>
      </c>
      <c r="F107" s="178">
        <v>2575</v>
      </c>
      <c r="G107" s="109">
        <f t="shared" si="62"/>
        <v>92700</v>
      </c>
      <c r="H107" s="109">
        <f t="shared" ref="H107:H109" si="72">G107*0.2</f>
        <v>18540</v>
      </c>
      <c r="I107" s="109">
        <f t="shared" si="63"/>
        <v>111240</v>
      </c>
      <c r="J107" s="109">
        <f t="shared" si="64"/>
        <v>9270</v>
      </c>
      <c r="K107" s="112">
        <f t="shared" si="65"/>
        <v>101970</v>
      </c>
      <c r="O107" s="89"/>
      <c r="Q107" s="89"/>
    </row>
    <row r="108" spans="1:17" s="88" customFormat="1" ht="18.600000000000001" hidden="1" thickTop="1" thickBot="1" x14ac:dyDescent="0.35">
      <c r="A108" s="108" t="s">
        <v>123</v>
      </c>
      <c r="B108" s="108" t="s">
        <v>37</v>
      </c>
      <c r="C108" s="108" t="s">
        <v>117</v>
      </c>
      <c r="D108" s="108" t="s">
        <v>275</v>
      </c>
      <c r="E108" s="108"/>
      <c r="F108" s="109"/>
      <c r="G108" s="109">
        <f t="shared" ref="G108" si="73">E108*F108</f>
        <v>0</v>
      </c>
      <c r="H108" s="109">
        <f t="shared" si="72"/>
        <v>0</v>
      </c>
      <c r="I108" s="109">
        <f t="shared" ref="I108" si="74">SUM(G108:H108)</f>
        <v>0</v>
      </c>
      <c r="J108" s="109">
        <f t="shared" si="64"/>
        <v>0</v>
      </c>
      <c r="K108" s="112">
        <f t="shared" si="65"/>
        <v>0</v>
      </c>
      <c r="O108" s="89"/>
      <c r="Q108" s="89"/>
    </row>
    <row r="109" spans="1:17" s="88" customFormat="1" ht="18.600000000000001" hidden="1" thickTop="1" thickBot="1" x14ac:dyDescent="0.35">
      <c r="A109" s="108" t="s">
        <v>116</v>
      </c>
      <c r="B109" s="108" t="s">
        <v>37</v>
      </c>
      <c r="C109" s="108" t="s">
        <v>145</v>
      </c>
      <c r="D109" s="108" t="s">
        <v>226</v>
      </c>
      <c r="E109" s="108"/>
      <c r="F109" s="109">
        <v>1150</v>
      </c>
      <c r="G109" s="112">
        <f t="shared" si="62"/>
        <v>0</v>
      </c>
      <c r="H109" s="109">
        <f t="shared" si="72"/>
        <v>0</v>
      </c>
      <c r="I109" s="112">
        <f t="shared" si="63"/>
        <v>0</v>
      </c>
      <c r="J109" s="109">
        <f t="shared" si="64"/>
        <v>0</v>
      </c>
      <c r="K109" s="112">
        <f t="shared" si="65"/>
        <v>0</v>
      </c>
      <c r="O109" s="89"/>
      <c r="Q109" s="89"/>
    </row>
    <row r="110" spans="1:17" ht="18.600000000000001" thickTop="1" thickBot="1" x14ac:dyDescent="0.35">
      <c r="A110" s="53"/>
      <c r="B110" s="53"/>
      <c r="C110" s="53"/>
      <c r="D110" s="53"/>
      <c r="E110" s="53"/>
      <c r="F110" s="54"/>
      <c r="G110" s="58">
        <f>SUM(G96:G109)</f>
        <v>294090</v>
      </c>
      <c r="H110" s="58">
        <f t="shared" ref="H110:K110" si="75">SUM(H96:H109)</f>
        <v>42564</v>
      </c>
      <c r="I110" s="58">
        <f t="shared" si="75"/>
        <v>336654</v>
      </c>
      <c r="J110" s="58">
        <f t="shared" si="75"/>
        <v>29409</v>
      </c>
      <c r="K110" s="58">
        <f t="shared" si="75"/>
        <v>307245</v>
      </c>
    </row>
    <row r="111" spans="1:17" ht="18.600000000000001" hidden="1" customHeight="1" thickTop="1" thickBot="1" x14ac:dyDescent="0.35">
      <c r="A111" s="43"/>
      <c r="B111" s="43"/>
      <c r="C111" s="43"/>
      <c r="D111" s="43"/>
      <c r="E111" s="43"/>
      <c r="F111" s="41"/>
      <c r="G111" s="41"/>
      <c r="H111" s="41"/>
      <c r="I111" s="41"/>
      <c r="J111" s="41"/>
      <c r="K111" s="41"/>
    </row>
    <row r="112" spans="1:17" ht="18.600000000000001" hidden="1" customHeight="1" thickTop="1" thickBot="1" x14ac:dyDescent="0.35">
      <c r="A112" s="64" t="s">
        <v>266</v>
      </c>
      <c r="B112" s="64" t="s">
        <v>37</v>
      </c>
      <c r="C112" s="64" t="s">
        <v>267</v>
      </c>
      <c r="D112" s="64" t="s">
        <v>268</v>
      </c>
      <c r="E112" s="64"/>
      <c r="F112" s="65"/>
      <c r="G112" s="65">
        <f>F112*0.2</f>
        <v>0</v>
      </c>
      <c r="H112" s="65">
        <f>SUM(F112:G112)</f>
        <v>0</v>
      </c>
      <c r="I112" s="41"/>
      <c r="J112" s="41"/>
      <c r="K112" s="41"/>
    </row>
    <row r="113" spans="1:25" ht="18.600000000000001" hidden="1" customHeight="1" thickTop="1" thickBot="1" x14ac:dyDescent="0.35">
      <c r="A113" s="64" t="s">
        <v>266</v>
      </c>
      <c r="B113" s="64" t="s">
        <v>37</v>
      </c>
      <c r="C113" s="64" t="s">
        <v>267</v>
      </c>
      <c r="D113" s="64" t="s">
        <v>269</v>
      </c>
      <c r="E113" s="64"/>
      <c r="F113" s="65"/>
      <c r="G113" s="65">
        <f t="shared" ref="G113:G115" si="76">F113*0.2</f>
        <v>0</v>
      </c>
      <c r="H113" s="65">
        <f t="shared" ref="H113:H115" si="77">SUM(F113:G113)</f>
        <v>0</v>
      </c>
      <c r="I113" s="41"/>
      <c r="J113" s="41"/>
      <c r="K113" s="41"/>
    </row>
    <row r="114" spans="1:25" ht="18.600000000000001" hidden="1" customHeight="1" thickTop="1" thickBot="1" x14ac:dyDescent="0.35">
      <c r="A114" s="64" t="s">
        <v>266</v>
      </c>
      <c r="B114" s="64" t="s">
        <v>37</v>
      </c>
      <c r="C114" s="64" t="s">
        <v>267</v>
      </c>
      <c r="D114" s="64" t="s">
        <v>268</v>
      </c>
      <c r="E114" s="64"/>
      <c r="F114" s="65"/>
      <c r="G114" s="65">
        <f t="shared" si="76"/>
        <v>0</v>
      </c>
      <c r="H114" s="65">
        <f t="shared" si="77"/>
        <v>0</v>
      </c>
      <c r="I114" s="41"/>
      <c r="J114" s="41"/>
      <c r="K114" s="41"/>
    </row>
    <row r="115" spans="1:25" ht="18.600000000000001" hidden="1" customHeight="1" thickTop="1" thickBot="1" x14ac:dyDescent="0.35">
      <c r="A115" s="64" t="s">
        <v>266</v>
      </c>
      <c r="B115" s="64" t="s">
        <v>37</v>
      </c>
      <c r="C115" s="64" t="s">
        <v>267</v>
      </c>
      <c r="D115" s="64" t="s">
        <v>270</v>
      </c>
      <c r="E115" s="64"/>
      <c r="F115" s="65"/>
      <c r="G115" s="65">
        <f t="shared" si="76"/>
        <v>0</v>
      </c>
      <c r="H115" s="65">
        <f t="shared" si="77"/>
        <v>0</v>
      </c>
      <c r="I115" s="41"/>
      <c r="J115" s="41"/>
      <c r="K115" s="41"/>
    </row>
    <row r="116" spans="1:25" ht="18.600000000000001" hidden="1" customHeight="1" thickTop="1" thickBot="1" x14ac:dyDescent="0.35">
      <c r="A116" s="64"/>
      <c r="B116" s="64"/>
      <c r="C116" s="64"/>
      <c r="D116" s="64"/>
      <c r="E116" s="64"/>
      <c r="F116" s="65"/>
      <c r="G116" s="65"/>
      <c r="H116" s="65">
        <f>SUM(H112:H115)</f>
        <v>0</v>
      </c>
      <c r="I116" s="41"/>
      <c r="J116" s="41"/>
      <c r="K116" s="41"/>
    </row>
    <row r="117" spans="1:25" ht="18" hidden="1" customHeight="1" thickTop="1" x14ac:dyDescent="0.3">
      <c r="A117" s="43"/>
      <c r="B117" s="43"/>
      <c r="C117" s="43"/>
      <c r="D117" s="43"/>
      <c r="E117" s="43"/>
      <c r="F117" s="41"/>
      <c r="G117" s="41"/>
      <c r="H117" s="41"/>
      <c r="I117" s="41"/>
      <c r="J117" s="41"/>
      <c r="K117" s="41"/>
    </row>
    <row r="118" spans="1:25" ht="17.399999999999999" hidden="1" customHeight="1" x14ac:dyDescent="0.3">
      <c r="A118" s="43"/>
      <c r="B118" s="43"/>
      <c r="C118" s="43"/>
      <c r="D118" s="43"/>
      <c r="E118" s="43"/>
      <c r="F118" s="41"/>
      <c r="G118" s="41"/>
      <c r="H118" s="41"/>
      <c r="I118" s="41"/>
      <c r="J118" s="41"/>
      <c r="K118" s="41"/>
    </row>
    <row r="119" spans="1:25" s="2" customFormat="1" ht="31.5" hidden="1" customHeight="1" x14ac:dyDescent="0.3">
      <c r="A119" s="43"/>
      <c r="B119" s="43"/>
      <c r="C119" s="43"/>
      <c r="D119" s="43"/>
      <c r="E119" s="43"/>
      <c r="F119" s="41"/>
      <c r="G119" s="41"/>
      <c r="H119" s="41"/>
      <c r="I119" s="41"/>
      <c r="J119" s="41"/>
      <c r="K119" s="41"/>
      <c r="M119" s="39"/>
      <c r="N119" s="39"/>
      <c r="O119" s="40"/>
      <c r="P119" s="39"/>
      <c r="Q119" s="40"/>
      <c r="R119" s="39"/>
      <c r="S119" s="39"/>
      <c r="T119" s="39"/>
      <c r="U119" s="39"/>
      <c r="V119" s="39"/>
      <c r="W119" s="39"/>
      <c r="X119" s="39"/>
      <c r="Y119" s="39"/>
    </row>
    <row r="120" spans="1:25" ht="18" thickTop="1" x14ac:dyDescent="0.3"/>
    <row r="121" spans="1:25" ht="18" thickBot="1" x14ac:dyDescent="0.35">
      <c r="A121" s="61" t="s">
        <v>615</v>
      </c>
      <c r="B121" s="61" t="s">
        <v>0</v>
      </c>
      <c r="C121" s="61" t="s">
        <v>1</v>
      </c>
      <c r="D121" s="61" t="s">
        <v>9</v>
      </c>
      <c r="E121" s="62"/>
      <c r="F121" s="63" t="s">
        <v>2</v>
      </c>
      <c r="G121" s="63" t="s">
        <v>3</v>
      </c>
      <c r="H121" s="87">
        <v>0.2</v>
      </c>
      <c r="I121" s="63" t="s">
        <v>4</v>
      </c>
      <c r="J121" s="87">
        <v>0.1</v>
      </c>
      <c r="K121" s="63" t="s">
        <v>5</v>
      </c>
      <c r="M121" s="2"/>
      <c r="N121" s="2"/>
      <c r="Y121" s="2"/>
    </row>
    <row r="122" spans="1:25" ht="18.600000000000001" hidden="1" thickTop="1" thickBot="1" x14ac:dyDescent="0.35">
      <c r="A122" s="37" t="s">
        <v>144</v>
      </c>
      <c r="B122" s="37" t="s">
        <v>37</v>
      </c>
      <c r="C122" s="37" t="s">
        <v>232</v>
      </c>
      <c r="D122" s="37" t="s">
        <v>103</v>
      </c>
      <c r="E122" s="37"/>
      <c r="F122" s="38">
        <v>550</v>
      </c>
      <c r="G122" s="38">
        <f t="shared" ref="G122:G127" si="78">E122*F122</f>
        <v>0</v>
      </c>
      <c r="H122" s="38">
        <f>G122*0.1</f>
        <v>0</v>
      </c>
      <c r="I122" s="38">
        <f t="shared" ref="I122:I127" si="79">SUM(G122:H122)</f>
        <v>0</v>
      </c>
      <c r="J122" s="38"/>
      <c r="K122" s="38">
        <f t="shared" ref="K122:K125" si="80">G122+J122</f>
        <v>0</v>
      </c>
      <c r="O122" s="21"/>
      <c r="P122" s="2"/>
      <c r="Q122" s="21"/>
      <c r="R122" s="2"/>
      <c r="S122" s="2"/>
      <c r="T122" s="2"/>
      <c r="U122" s="2"/>
      <c r="V122" s="2"/>
      <c r="W122" s="2"/>
      <c r="X122" s="2"/>
    </row>
    <row r="123" spans="1:25" ht="18.600000000000001" hidden="1" thickTop="1" thickBot="1" x14ac:dyDescent="0.35">
      <c r="A123" s="37" t="s">
        <v>130</v>
      </c>
      <c r="B123" s="37" t="s">
        <v>37</v>
      </c>
      <c r="C123" s="37" t="s">
        <v>146</v>
      </c>
      <c r="D123" s="37" t="s">
        <v>103</v>
      </c>
      <c r="E123" s="37"/>
      <c r="F123" s="38">
        <v>400</v>
      </c>
      <c r="G123" s="38">
        <f t="shared" si="78"/>
        <v>0</v>
      </c>
      <c r="H123" s="38">
        <f t="shared" ref="H123:H125" si="81">G123*0.1</f>
        <v>0</v>
      </c>
      <c r="I123" s="38">
        <f t="shared" si="79"/>
        <v>0</v>
      </c>
      <c r="J123" s="38">
        <f>G123*0.1</f>
        <v>0</v>
      </c>
      <c r="K123" s="38">
        <f t="shared" si="80"/>
        <v>0</v>
      </c>
    </row>
    <row r="124" spans="1:25" ht="18.600000000000001" hidden="1" thickTop="1" thickBot="1" x14ac:dyDescent="0.35">
      <c r="A124" s="37" t="s">
        <v>147</v>
      </c>
      <c r="B124" s="37" t="s">
        <v>37</v>
      </c>
      <c r="C124" s="37" t="s">
        <v>146</v>
      </c>
      <c r="D124" s="37" t="s">
        <v>239</v>
      </c>
      <c r="E124" s="37"/>
      <c r="F124" s="38">
        <v>866.67</v>
      </c>
      <c r="G124" s="38">
        <f t="shared" si="78"/>
        <v>0</v>
      </c>
      <c r="H124" s="38">
        <f t="shared" si="81"/>
        <v>0</v>
      </c>
      <c r="I124" s="38">
        <f t="shared" si="79"/>
        <v>0</v>
      </c>
      <c r="J124" s="38">
        <f t="shared" ref="J124:J127" si="82">G124*0.1</f>
        <v>0</v>
      </c>
      <c r="K124" s="38">
        <f t="shared" si="80"/>
        <v>0</v>
      </c>
    </row>
    <row r="125" spans="1:25" ht="18.600000000000001" hidden="1" thickTop="1" thickBot="1" x14ac:dyDescent="0.35">
      <c r="A125" s="37" t="s">
        <v>216</v>
      </c>
      <c r="B125" s="37" t="s">
        <v>37</v>
      </c>
      <c r="C125" s="37" t="s">
        <v>146</v>
      </c>
      <c r="D125" s="37" t="s">
        <v>210</v>
      </c>
      <c r="E125" s="37"/>
      <c r="F125" s="38"/>
      <c r="G125" s="38">
        <f t="shared" si="78"/>
        <v>0</v>
      </c>
      <c r="H125" s="38">
        <f t="shared" si="81"/>
        <v>0</v>
      </c>
      <c r="I125" s="38">
        <f t="shared" si="79"/>
        <v>0</v>
      </c>
      <c r="J125" s="38">
        <f t="shared" si="82"/>
        <v>0</v>
      </c>
      <c r="K125" s="38">
        <f t="shared" si="80"/>
        <v>0</v>
      </c>
    </row>
    <row r="126" spans="1:25" s="88" customFormat="1" ht="18.600000000000001" hidden="1" thickTop="1" thickBot="1" x14ac:dyDescent="0.35">
      <c r="A126" s="108" t="s">
        <v>308</v>
      </c>
      <c r="B126" s="108" t="s">
        <v>37</v>
      </c>
      <c r="C126" s="108" t="s">
        <v>70</v>
      </c>
      <c r="D126" s="108" t="s">
        <v>546</v>
      </c>
      <c r="E126" s="108"/>
      <c r="F126" s="109">
        <v>2500</v>
      </c>
      <c r="G126" s="109">
        <f t="shared" si="78"/>
        <v>0</v>
      </c>
      <c r="H126" s="109">
        <f t="shared" ref="H126:H127" si="83">G126*0.2</f>
        <v>0</v>
      </c>
      <c r="I126" s="109">
        <f t="shared" si="79"/>
        <v>0</v>
      </c>
      <c r="J126" s="109">
        <f t="shared" si="82"/>
        <v>0</v>
      </c>
      <c r="K126" s="109">
        <f>G126+J126</f>
        <v>0</v>
      </c>
      <c r="O126" s="89"/>
      <c r="Q126" s="89"/>
    </row>
    <row r="127" spans="1:25" s="88" customFormat="1" ht="18.600000000000001" thickTop="1" thickBot="1" x14ac:dyDescent="0.35">
      <c r="A127" s="108" t="s">
        <v>308</v>
      </c>
      <c r="B127" s="108" t="s">
        <v>37</v>
      </c>
      <c r="C127" s="108" t="s">
        <v>73</v>
      </c>
      <c r="D127" s="108" t="s">
        <v>558</v>
      </c>
      <c r="E127" s="108">
        <v>30</v>
      </c>
      <c r="F127" s="109">
        <v>2500</v>
      </c>
      <c r="G127" s="109">
        <f t="shared" si="78"/>
        <v>75000</v>
      </c>
      <c r="H127" s="109">
        <f t="shared" si="83"/>
        <v>15000</v>
      </c>
      <c r="I127" s="109">
        <f t="shared" si="79"/>
        <v>90000</v>
      </c>
      <c r="J127" s="109">
        <f t="shared" si="82"/>
        <v>7500</v>
      </c>
      <c r="K127" s="109">
        <f t="shared" ref="K127" si="84">G127+J127</f>
        <v>82500</v>
      </c>
      <c r="O127" s="89"/>
      <c r="Q127" s="89"/>
    </row>
    <row r="128" spans="1:25" s="88" customFormat="1" ht="18.600000000000001" hidden="1" thickTop="1" thickBot="1" x14ac:dyDescent="0.35">
      <c r="A128" s="108"/>
      <c r="B128" s="108"/>
      <c r="C128" s="108"/>
      <c r="D128" s="108"/>
      <c r="E128" s="108"/>
      <c r="F128" s="109"/>
      <c r="G128" s="109"/>
      <c r="H128" s="109"/>
      <c r="I128" s="109"/>
      <c r="J128" s="109"/>
      <c r="K128" s="109"/>
      <c r="O128" s="89"/>
      <c r="Q128" s="89"/>
    </row>
    <row r="129" spans="1:25" s="88" customFormat="1" ht="18.600000000000001" thickTop="1" thickBot="1" x14ac:dyDescent="0.35">
      <c r="A129" s="108" t="s">
        <v>309</v>
      </c>
      <c r="B129" s="108" t="s">
        <v>37</v>
      </c>
      <c r="C129" s="108" t="s">
        <v>68</v>
      </c>
      <c r="D129" s="108" t="s">
        <v>28</v>
      </c>
      <c r="E129" s="108">
        <v>109</v>
      </c>
      <c r="F129" s="109">
        <v>917.5</v>
      </c>
      <c r="G129" s="109">
        <f t="shared" ref="G129" si="85">E129*F129</f>
        <v>100007.5</v>
      </c>
      <c r="H129" s="109">
        <f t="shared" ref="H129" si="86">G129*0.2</f>
        <v>20001.5</v>
      </c>
      <c r="I129" s="109">
        <f t="shared" ref="I129" si="87">SUM(G129:H129)</f>
        <v>120009</v>
      </c>
      <c r="J129" s="109">
        <f t="shared" ref="J129" si="88">G129*0.1</f>
        <v>10000.75</v>
      </c>
      <c r="K129" s="109">
        <f t="shared" ref="K129" si="89">G129+J129</f>
        <v>110008.25</v>
      </c>
      <c r="O129" s="89"/>
      <c r="Q129" s="89"/>
    </row>
    <row r="130" spans="1:25" s="88" customFormat="1" ht="18.600000000000001" thickTop="1" thickBot="1" x14ac:dyDescent="0.35">
      <c r="A130" s="108" t="s">
        <v>309</v>
      </c>
      <c r="B130" s="108" t="s">
        <v>37</v>
      </c>
      <c r="C130" s="108" t="s">
        <v>68</v>
      </c>
      <c r="D130" s="108" t="s">
        <v>47</v>
      </c>
      <c r="E130" s="108">
        <v>5</v>
      </c>
      <c r="F130" s="109">
        <v>1650</v>
      </c>
      <c r="G130" s="109">
        <f t="shared" ref="G130" si="90">E130*F130</f>
        <v>8250</v>
      </c>
      <c r="H130" s="109">
        <f t="shared" ref="H130" si="91">G130*0.2</f>
        <v>1650</v>
      </c>
      <c r="I130" s="109">
        <f t="shared" ref="I130" si="92">SUM(G130:H130)</f>
        <v>9900</v>
      </c>
      <c r="J130" s="109">
        <f t="shared" ref="J130" si="93">G130*0.1</f>
        <v>825</v>
      </c>
      <c r="K130" s="109">
        <f t="shared" ref="K130" si="94">G130+J130</f>
        <v>9075</v>
      </c>
      <c r="O130" s="89"/>
      <c r="Q130" s="89"/>
    </row>
    <row r="131" spans="1:25" s="88" customFormat="1" ht="18.600000000000001" hidden="1" thickTop="1" thickBot="1" x14ac:dyDescent="0.35">
      <c r="A131" s="108" t="s">
        <v>309</v>
      </c>
      <c r="B131" s="108" t="s">
        <v>37</v>
      </c>
      <c r="C131" s="108" t="s">
        <v>68</v>
      </c>
      <c r="D131" s="108" t="s">
        <v>574</v>
      </c>
      <c r="E131" s="108"/>
      <c r="F131" s="109">
        <v>1165</v>
      </c>
      <c r="G131" s="109">
        <f t="shared" ref="G131" si="95">E131*F131</f>
        <v>0</v>
      </c>
      <c r="H131" s="109">
        <f t="shared" ref="H131" si="96">G131*0.2</f>
        <v>0</v>
      </c>
      <c r="I131" s="109">
        <f t="shared" ref="I131" si="97">SUM(G131:H131)</f>
        <v>0</v>
      </c>
      <c r="J131" s="109">
        <f t="shared" ref="J131" si="98">G131*0.1</f>
        <v>0</v>
      </c>
      <c r="K131" s="109">
        <f t="shared" ref="K131" si="99">G131+J131</f>
        <v>0</v>
      </c>
      <c r="O131" s="89"/>
      <c r="Q131" s="89"/>
    </row>
    <row r="132" spans="1:25" s="88" customFormat="1" ht="18.600000000000001" hidden="1" thickTop="1" thickBot="1" x14ac:dyDescent="0.35">
      <c r="A132" s="108" t="s">
        <v>544</v>
      </c>
      <c r="B132" s="108" t="s">
        <v>37</v>
      </c>
      <c r="C132" s="108" t="s">
        <v>545</v>
      </c>
      <c r="D132" s="108" t="s">
        <v>10</v>
      </c>
      <c r="E132" s="108"/>
      <c r="F132" s="109">
        <v>2200</v>
      </c>
      <c r="G132" s="109">
        <f t="shared" ref="G132" si="100">E132*F132</f>
        <v>0</v>
      </c>
      <c r="H132" s="109">
        <f t="shared" ref="H132" si="101">G132*0.2</f>
        <v>0</v>
      </c>
      <c r="I132" s="109">
        <f t="shared" ref="I132" si="102">SUM(G132:H132)</f>
        <v>0</v>
      </c>
      <c r="J132" s="109">
        <f t="shared" ref="J132" si="103">G132*0.1</f>
        <v>0</v>
      </c>
      <c r="K132" s="109">
        <f t="shared" ref="K132" si="104">G132+J132</f>
        <v>0</v>
      </c>
      <c r="O132" s="89"/>
      <c r="Q132" s="89"/>
    </row>
    <row r="133" spans="1:25" s="2" customFormat="1" ht="31.5" customHeight="1" thickTop="1" thickBot="1" x14ac:dyDescent="0.35">
      <c r="A133" s="43"/>
      <c r="B133" s="43"/>
      <c r="C133" s="43"/>
      <c r="D133" s="43"/>
      <c r="E133" s="43"/>
      <c r="F133" s="60"/>
      <c r="G133" s="52">
        <f>SUM(G122:G132)</f>
        <v>183257.5</v>
      </c>
      <c r="H133" s="52">
        <f t="shared" ref="H133:K133" si="105">SUM(H122:H132)</f>
        <v>36651.5</v>
      </c>
      <c r="I133" s="52">
        <f t="shared" si="105"/>
        <v>219909</v>
      </c>
      <c r="J133" s="52">
        <f t="shared" si="105"/>
        <v>18325.75</v>
      </c>
      <c r="K133" s="52">
        <f t="shared" si="105"/>
        <v>201583.25</v>
      </c>
      <c r="M133" s="39"/>
      <c r="N133" s="39"/>
      <c r="O133" s="40"/>
      <c r="P133" s="39"/>
      <c r="Q133" s="40"/>
      <c r="R133" s="39"/>
      <c r="S133" s="39"/>
      <c r="T133" s="39"/>
      <c r="U133" s="39"/>
      <c r="V133" s="39"/>
      <c r="W133" s="39"/>
      <c r="X133" s="39"/>
      <c r="Y133" s="39"/>
    </row>
    <row r="134" spans="1:25" s="66" customFormat="1" ht="18" thickTop="1" x14ac:dyDescent="0.3">
      <c r="F134" s="67"/>
      <c r="G134" s="67"/>
      <c r="H134" s="67"/>
      <c r="I134" s="67"/>
      <c r="J134" s="67"/>
      <c r="K134" s="67"/>
      <c r="O134" s="67"/>
      <c r="Q134" s="67"/>
    </row>
    <row r="135" spans="1:25" ht="16.95" customHeight="1" thickBot="1" x14ac:dyDescent="0.35">
      <c r="A135" s="46" t="s">
        <v>616</v>
      </c>
      <c r="B135" s="46" t="s">
        <v>0</v>
      </c>
      <c r="C135" s="46" t="s">
        <v>1</v>
      </c>
      <c r="D135" s="46" t="s">
        <v>9</v>
      </c>
      <c r="E135" s="59"/>
      <c r="F135" s="47" t="s">
        <v>2</v>
      </c>
      <c r="G135" s="47" t="s">
        <v>3</v>
      </c>
      <c r="H135" s="47">
        <v>0.2</v>
      </c>
      <c r="I135" s="47" t="s">
        <v>4</v>
      </c>
      <c r="J135" s="47">
        <v>0.1</v>
      </c>
      <c r="K135" s="47" t="s">
        <v>5</v>
      </c>
      <c r="M135" s="2"/>
      <c r="N135" s="2"/>
      <c r="Y135" s="2"/>
    </row>
    <row r="136" spans="1:25" s="88" customFormat="1" ht="18.600000000000001" thickTop="1" thickBot="1" x14ac:dyDescent="0.35">
      <c r="A136" s="108" t="s">
        <v>153</v>
      </c>
      <c r="B136" s="108" t="s">
        <v>37</v>
      </c>
      <c r="C136" s="108" t="s">
        <v>161</v>
      </c>
      <c r="D136" s="108" t="s">
        <v>77</v>
      </c>
      <c r="E136" s="108">
        <v>83</v>
      </c>
      <c r="F136" s="109">
        <v>1820</v>
      </c>
      <c r="G136" s="109">
        <f t="shared" ref="G136:G143" si="106">E136*F136</f>
        <v>151060</v>
      </c>
      <c r="H136" s="109">
        <f>G136*H135</f>
        <v>30212</v>
      </c>
      <c r="I136" s="109">
        <f>SUM(G136:H136)</f>
        <v>181272</v>
      </c>
      <c r="J136" s="109">
        <f>G136*0.1</f>
        <v>15106</v>
      </c>
      <c r="K136" s="109">
        <f t="shared" ref="K136:K143" si="107">G136+J136</f>
        <v>166166</v>
      </c>
      <c r="O136" s="111"/>
      <c r="P136" s="94"/>
      <c r="Q136" s="111"/>
      <c r="R136" s="94"/>
      <c r="S136" s="94"/>
      <c r="T136" s="94"/>
      <c r="U136" s="94"/>
      <c r="V136" s="94"/>
      <c r="W136" s="94"/>
      <c r="X136" s="94"/>
    </row>
    <row r="137" spans="1:25" s="88" customFormat="1" ht="18.600000000000001" hidden="1" thickTop="1" thickBot="1" x14ac:dyDescent="0.35">
      <c r="A137" s="108" t="s">
        <v>153</v>
      </c>
      <c r="B137" s="108" t="s">
        <v>37</v>
      </c>
      <c r="C137" s="108" t="s">
        <v>557</v>
      </c>
      <c r="D137" s="108" t="s">
        <v>77</v>
      </c>
      <c r="E137" s="108"/>
      <c r="F137" s="109"/>
      <c r="G137" s="109">
        <f t="shared" si="106"/>
        <v>0</v>
      </c>
      <c r="H137" s="109">
        <f>G137*0.2</f>
        <v>0</v>
      </c>
      <c r="I137" s="109">
        <f>SUM(G137:H137)</f>
        <v>0</v>
      </c>
      <c r="J137" s="109">
        <f t="shared" ref="J137:J143" si="108">G137*0.1</f>
        <v>0</v>
      </c>
      <c r="K137" s="109">
        <f t="shared" si="107"/>
        <v>0</v>
      </c>
      <c r="O137" s="89"/>
      <c r="Q137" s="89"/>
    </row>
    <row r="138" spans="1:25" s="88" customFormat="1" ht="18.600000000000001" thickTop="1" thickBot="1" x14ac:dyDescent="0.35">
      <c r="A138" s="108" t="s">
        <v>153</v>
      </c>
      <c r="B138" s="108" t="s">
        <v>37</v>
      </c>
      <c r="C138" s="108" t="s">
        <v>161</v>
      </c>
      <c r="D138" s="108" t="s">
        <v>47</v>
      </c>
      <c r="E138" s="108">
        <v>28</v>
      </c>
      <c r="F138" s="109">
        <v>1625</v>
      </c>
      <c r="G138" s="109">
        <f t="shared" si="106"/>
        <v>45500</v>
      </c>
      <c r="H138" s="109">
        <f t="shared" ref="H138:H139" si="109">G138*0.2</f>
        <v>9100</v>
      </c>
      <c r="I138" s="109">
        <f>SUM(G138:H138)</f>
        <v>54600</v>
      </c>
      <c r="J138" s="109">
        <f t="shared" si="108"/>
        <v>4550</v>
      </c>
      <c r="K138" s="109">
        <f t="shared" si="107"/>
        <v>50050</v>
      </c>
      <c r="O138" s="89"/>
      <c r="Q138" s="89"/>
    </row>
    <row r="139" spans="1:25" s="88" customFormat="1" ht="18.600000000000001" hidden="1" thickTop="1" thickBot="1" x14ac:dyDescent="0.35">
      <c r="A139" s="108" t="s">
        <v>153</v>
      </c>
      <c r="B139" s="108" t="s">
        <v>37</v>
      </c>
      <c r="C139" s="108" t="s">
        <v>70</v>
      </c>
      <c r="D139" s="108" t="s">
        <v>77</v>
      </c>
      <c r="E139" s="108"/>
      <c r="F139" s="109">
        <v>1600</v>
      </c>
      <c r="G139" s="109">
        <f t="shared" si="106"/>
        <v>0</v>
      </c>
      <c r="H139" s="109">
        <f t="shared" si="109"/>
        <v>0</v>
      </c>
      <c r="I139" s="109">
        <f>SUM(G139:H139)</f>
        <v>0</v>
      </c>
      <c r="J139" s="109">
        <f t="shared" si="108"/>
        <v>0</v>
      </c>
      <c r="K139" s="109">
        <f t="shared" si="107"/>
        <v>0</v>
      </c>
      <c r="O139" s="89"/>
      <c r="Q139" s="89"/>
    </row>
    <row r="140" spans="1:25" s="88" customFormat="1" ht="18.600000000000001" hidden="1" thickTop="1" thickBot="1" x14ac:dyDescent="0.35">
      <c r="A140" s="108" t="s">
        <v>153</v>
      </c>
      <c r="B140" s="108" t="s">
        <v>37</v>
      </c>
      <c r="C140" s="108" t="s">
        <v>242</v>
      </c>
      <c r="D140" s="108" t="s">
        <v>47</v>
      </c>
      <c r="E140" s="108"/>
      <c r="F140" s="109"/>
      <c r="G140" s="109">
        <f t="shared" si="106"/>
        <v>0</v>
      </c>
      <c r="H140" s="109">
        <f>G140*0.18</f>
        <v>0</v>
      </c>
      <c r="I140" s="109">
        <f>SUM(G140:H140)</f>
        <v>0</v>
      </c>
      <c r="J140" s="109">
        <f t="shared" si="108"/>
        <v>0</v>
      </c>
      <c r="K140" s="109">
        <f t="shared" si="107"/>
        <v>0</v>
      </c>
      <c r="O140" s="89"/>
      <c r="Q140" s="89"/>
    </row>
    <row r="141" spans="1:25" s="88" customFormat="1" ht="18.600000000000001" thickTop="1" thickBot="1" x14ac:dyDescent="0.35">
      <c r="A141" s="108" t="s">
        <v>241</v>
      </c>
      <c r="B141" s="108" t="s">
        <v>37</v>
      </c>
      <c r="C141" s="108" t="s">
        <v>242</v>
      </c>
      <c r="D141" s="108" t="s">
        <v>47</v>
      </c>
      <c r="E141" s="108">
        <v>11</v>
      </c>
      <c r="F141" s="109">
        <v>1100</v>
      </c>
      <c r="G141" s="109">
        <f t="shared" si="106"/>
        <v>12100</v>
      </c>
      <c r="H141" s="109">
        <f>G141*0.2</f>
        <v>2420</v>
      </c>
      <c r="I141" s="109">
        <f t="shared" ref="I141:I143" si="110">SUM(G141:H141)</f>
        <v>14520</v>
      </c>
      <c r="J141" s="109">
        <f t="shared" si="108"/>
        <v>1210</v>
      </c>
      <c r="K141" s="109">
        <f t="shared" si="107"/>
        <v>13310</v>
      </c>
      <c r="O141" s="89"/>
      <c r="Q141" s="89"/>
    </row>
    <row r="142" spans="1:25" s="88" customFormat="1" ht="18.600000000000001" thickTop="1" thickBot="1" x14ac:dyDescent="0.35">
      <c r="A142" s="108" t="s">
        <v>241</v>
      </c>
      <c r="B142" s="108" t="s">
        <v>37</v>
      </c>
      <c r="C142" s="108" t="s">
        <v>242</v>
      </c>
      <c r="D142" s="108" t="s">
        <v>77</v>
      </c>
      <c r="E142" s="108">
        <v>70</v>
      </c>
      <c r="F142" s="109">
        <v>1600</v>
      </c>
      <c r="G142" s="109">
        <f t="shared" si="106"/>
        <v>112000</v>
      </c>
      <c r="H142" s="109">
        <f>G142*0.2</f>
        <v>22400</v>
      </c>
      <c r="I142" s="109">
        <f t="shared" si="110"/>
        <v>134400</v>
      </c>
      <c r="J142" s="109">
        <f t="shared" si="108"/>
        <v>11200</v>
      </c>
      <c r="K142" s="109">
        <f t="shared" si="107"/>
        <v>123200</v>
      </c>
      <c r="O142" s="89"/>
      <c r="Q142" s="89"/>
    </row>
    <row r="143" spans="1:25" s="88" customFormat="1" ht="18.600000000000001" hidden="1" thickTop="1" thickBot="1" x14ac:dyDescent="0.35">
      <c r="A143" s="108" t="s">
        <v>241</v>
      </c>
      <c r="B143" s="108" t="s">
        <v>37</v>
      </c>
      <c r="C143" s="108" t="s">
        <v>45</v>
      </c>
      <c r="D143" s="108" t="s">
        <v>47</v>
      </c>
      <c r="E143" s="108"/>
      <c r="F143" s="109"/>
      <c r="G143" s="109">
        <f t="shared" si="106"/>
        <v>0</v>
      </c>
      <c r="H143" s="109">
        <f>G143*0.2</f>
        <v>0</v>
      </c>
      <c r="I143" s="109">
        <f t="shared" si="110"/>
        <v>0</v>
      </c>
      <c r="J143" s="109">
        <f t="shared" si="108"/>
        <v>0</v>
      </c>
      <c r="K143" s="109">
        <f t="shared" si="107"/>
        <v>0</v>
      </c>
      <c r="O143" s="89"/>
      <c r="Q143" s="89"/>
    </row>
    <row r="144" spans="1:25" s="2" customFormat="1" ht="27" customHeight="1" thickTop="1" thickBot="1" x14ac:dyDescent="0.35">
      <c r="A144" s="43"/>
      <c r="B144" s="43"/>
      <c r="C144" s="43"/>
      <c r="D144" s="43"/>
      <c r="E144" s="43"/>
      <c r="F144" s="60"/>
      <c r="G144" s="52">
        <f>SUM(G136:G143)</f>
        <v>320660</v>
      </c>
      <c r="H144" s="52">
        <f>SUM(H136:H143)</f>
        <v>64132</v>
      </c>
      <c r="I144" s="52">
        <f>SUM(I136:I143)</f>
        <v>384792</v>
      </c>
      <c r="J144" s="52">
        <f>SUM(J136:J143)</f>
        <v>32066</v>
      </c>
      <c r="K144" s="52">
        <f>SUM(K136:K143)</f>
        <v>352726</v>
      </c>
      <c r="M144" s="39"/>
      <c r="N144" s="39"/>
      <c r="O144" s="40"/>
      <c r="P144" s="39"/>
      <c r="Q144" s="40"/>
      <c r="R144" s="39"/>
      <c r="S144" s="39"/>
      <c r="T144" s="39"/>
      <c r="U144" s="39"/>
      <c r="V144" s="39"/>
      <c r="W144" s="39"/>
      <c r="X144" s="39"/>
      <c r="Y144" s="39"/>
    </row>
    <row r="145" spans="1:25" s="29" customFormat="1" ht="27" customHeight="1" thickTop="1" thickBot="1" x14ac:dyDescent="0.35">
      <c r="A145" s="39"/>
      <c r="B145" s="39"/>
      <c r="C145" s="39"/>
      <c r="D145" s="39"/>
      <c r="E145" s="39"/>
      <c r="F145" s="40"/>
      <c r="G145" s="40"/>
      <c r="H145" s="40"/>
      <c r="I145" s="40"/>
      <c r="J145" s="40"/>
      <c r="K145" s="40"/>
      <c r="M145" s="39"/>
      <c r="N145" s="39"/>
      <c r="O145" s="40"/>
      <c r="P145" s="39"/>
      <c r="Q145" s="40"/>
      <c r="R145" s="39"/>
      <c r="S145" s="39"/>
      <c r="T145" s="39"/>
      <c r="U145" s="39"/>
      <c r="V145" s="39"/>
      <c r="W145" s="39"/>
      <c r="X145" s="39"/>
      <c r="Y145" s="39"/>
    </row>
    <row r="146" spans="1:25" s="29" customFormat="1" ht="27" customHeight="1" thickTop="1" thickBot="1" x14ac:dyDescent="0.35">
      <c r="A146" s="24" t="s">
        <v>617</v>
      </c>
      <c r="B146" s="25" t="s">
        <v>0</v>
      </c>
      <c r="C146" s="25" t="s">
        <v>1</v>
      </c>
      <c r="D146" s="25" t="s">
        <v>9</v>
      </c>
      <c r="E146" s="25"/>
      <c r="F146" s="26" t="s">
        <v>2</v>
      </c>
      <c r="G146" s="26" t="s">
        <v>3</v>
      </c>
      <c r="H146" s="27">
        <v>0.2</v>
      </c>
      <c r="I146" s="26" t="s">
        <v>4</v>
      </c>
      <c r="J146" s="27">
        <v>0.1</v>
      </c>
      <c r="K146" s="28" t="s">
        <v>5</v>
      </c>
      <c r="M146" s="2"/>
      <c r="N146" s="2"/>
      <c r="O146" s="67"/>
      <c r="P146" s="66"/>
      <c r="Q146" s="67"/>
      <c r="R146" s="66"/>
      <c r="S146" s="66"/>
      <c r="T146" s="39"/>
      <c r="U146" s="39"/>
      <c r="V146" s="39"/>
      <c r="W146" s="39"/>
      <c r="X146" s="39"/>
      <c r="Y146" s="2"/>
    </row>
    <row r="147" spans="1:25" s="29" customFormat="1" ht="22.95" customHeight="1" thickTop="1" thickBot="1" x14ac:dyDescent="0.35">
      <c r="A147" s="30" t="s">
        <v>157</v>
      </c>
      <c r="B147" s="30" t="s">
        <v>37</v>
      </c>
      <c r="C147" s="30" t="s">
        <v>119</v>
      </c>
      <c r="D147" s="30" t="s">
        <v>149</v>
      </c>
      <c r="E147" s="30">
        <v>19</v>
      </c>
      <c r="F147" s="31">
        <v>3350</v>
      </c>
      <c r="G147" s="32">
        <f t="shared" ref="G147:G156" si="111">E147*F147</f>
        <v>63650</v>
      </c>
      <c r="H147" s="32">
        <f>G147*0.2</f>
        <v>12730</v>
      </c>
      <c r="I147" s="33">
        <f>G147+H147</f>
        <v>76380</v>
      </c>
      <c r="J147" s="32">
        <f>G147*0.1</f>
        <v>6365</v>
      </c>
      <c r="K147" s="32">
        <f>G147+H147-J147</f>
        <v>70015</v>
      </c>
      <c r="O147" s="21"/>
      <c r="P147" s="2"/>
      <c r="Q147" s="21"/>
      <c r="R147" s="2"/>
      <c r="S147" s="2"/>
      <c r="T147" s="2"/>
      <c r="U147" s="2"/>
      <c r="V147" s="2"/>
      <c r="W147" s="2"/>
      <c r="X147" s="2"/>
    </row>
    <row r="148" spans="1:25" s="29" customFormat="1" ht="22.95" hidden="1" customHeight="1" thickTop="1" thickBot="1" x14ac:dyDescent="0.35">
      <c r="A148" s="30" t="s">
        <v>159</v>
      </c>
      <c r="B148" s="30" t="s">
        <v>37</v>
      </c>
      <c r="C148" s="30" t="s">
        <v>119</v>
      </c>
      <c r="D148" s="30" t="s">
        <v>158</v>
      </c>
      <c r="E148" s="30"/>
      <c r="F148" s="31"/>
      <c r="G148" s="32">
        <f t="shared" si="111"/>
        <v>0</v>
      </c>
      <c r="H148" s="32">
        <f t="shared" ref="H148:H156" si="112">G148*0.2</f>
        <v>0</v>
      </c>
      <c r="I148" s="33">
        <f t="shared" ref="I148:I156" si="113">G148+H148</f>
        <v>0</v>
      </c>
      <c r="J148" s="32">
        <f t="shared" ref="J148:J156" si="114">G148*0.1</f>
        <v>0</v>
      </c>
      <c r="K148" s="32">
        <f t="shared" ref="K148:K156" si="115">G148+H148-J148</f>
        <v>0</v>
      </c>
      <c r="O148" s="34"/>
      <c r="Q148" s="34"/>
    </row>
    <row r="149" spans="1:25" s="29" customFormat="1" ht="22.95" hidden="1" customHeight="1" thickTop="1" thickBot="1" x14ac:dyDescent="0.35">
      <c r="A149" s="30" t="s">
        <v>159</v>
      </c>
      <c r="B149" s="30"/>
      <c r="C149" s="30"/>
      <c r="D149" s="30"/>
      <c r="E149" s="30"/>
      <c r="F149" s="31"/>
      <c r="G149" s="32">
        <f t="shared" si="111"/>
        <v>0</v>
      </c>
      <c r="H149" s="32">
        <f t="shared" si="112"/>
        <v>0</v>
      </c>
      <c r="I149" s="33">
        <f t="shared" si="113"/>
        <v>0</v>
      </c>
      <c r="J149" s="32">
        <f t="shared" si="114"/>
        <v>0</v>
      </c>
      <c r="K149" s="32">
        <f t="shared" si="115"/>
        <v>0</v>
      </c>
      <c r="O149" s="34"/>
      <c r="Q149" s="34"/>
    </row>
    <row r="150" spans="1:25" s="29" customFormat="1" ht="27.6" hidden="1" customHeight="1" thickTop="1" thickBot="1" x14ac:dyDescent="0.35">
      <c r="A150" s="30" t="s">
        <v>159</v>
      </c>
      <c r="B150" s="30"/>
      <c r="C150" s="30"/>
      <c r="D150" s="30"/>
      <c r="E150" s="30"/>
      <c r="F150" s="31"/>
      <c r="G150" s="32">
        <f t="shared" si="111"/>
        <v>0</v>
      </c>
      <c r="H150" s="32">
        <f t="shared" si="112"/>
        <v>0</v>
      </c>
      <c r="I150" s="33">
        <f t="shared" si="113"/>
        <v>0</v>
      </c>
      <c r="J150" s="32">
        <f t="shared" si="114"/>
        <v>0</v>
      </c>
      <c r="K150" s="32">
        <f t="shared" si="115"/>
        <v>0</v>
      </c>
      <c r="O150" s="34"/>
      <c r="Q150" s="34"/>
    </row>
    <row r="151" spans="1:25" s="29" customFormat="1" ht="27" hidden="1" customHeight="1" thickTop="1" thickBot="1" x14ac:dyDescent="0.35">
      <c r="A151" s="30" t="s">
        <v>159</v>
      </c>
      <c r="B151" s="30" t="s">
        <v>37</v>
      </c>
      <c r="C151" s="30" t="s">
        <v>119</v>
      </c>
      <c r="D151" s="30" t="s">
        <v>10</v>
      </c>
      <c r="E151" s="30"/>
      <c r="F151" s="31"/>
      <c r="G151" s="32">
        <f t="shared" si="111"/>
        <v>0</v>
      </c>
      <c r="H151" s="32">
        <f t="shared" si="112"/>
        <v>0</v>
      </c>
      <c r="I151" s="33">
        <f t="shared" si="113"/>
        <v>0</v>
      </c>
      <c r="J151" s="32">
        <f t="shared" si="114"/>
        <v>0</v>
      </c>
      <c r="K151" s="32">
        <f t="shared" si="115"/>
        <v>0</v>
      </c>
      <c r="O151" s="34"/>
      <c r="Q151" s="34"/>
    </row>
    <row r="152" spans="1:25" s="29" customFormat="1" ht="27" customHeight="1" thickTop="1" thickBot="1" x14ac:dyDescent="0.35">
      <c r="A152" s="30" t="s">
        <v>277</v>
      </c>
      <c r="B152" s="30" t="s">
        <v>156</v>
      </c>
      <c r="C152" s="30" t="s">
        <v>119</v>
      </c>
      <c r="D152" s="30" t="s">
        <v>149</v>
      </c>
      <c r="E152" s="30"/>
      <c r="F152" s="31"/>
      <c r="G152" s="32">
        <f t="shared" si="111"/>
        <v>0</v>
      </c>
      <c r="H152" s="32">
        <f t="shared" si="112"/>
        <v>0</v>
      </c>
      <c r="I152" s="33">
        <f t="shared" si="113"/>
        <v>0</v>
      </c>
      <c r="J152" s="32">
        <f t="shared" si="114"/>
        <v>0</v>
      </c>
      <c r="K152" s="32">
        <f t="shared" si="115"/>
        <v>0</v>
      </c>
      <c r="O152" s="34"/>
      <c r="Q152" s="34"/>
    </row>
    <row r="153" spans="1:25" s="29" customFormat="1" ht="25.2" customHeight="1" thickTop="1" thickBot="1" x14ac:dyDescent="0.35">
      <c r="A153" s="30" t="s">
        <v>160</v>
      </c>
      <c r="B153" s="30" t="s">
        <v>37</v>
      </c>
      <c r="C153" s="30" t="s">
        <v>45</v>
      </c>
      <c r="D153" s="30" t="s">
        <v>149</v>
      </c>
      <c r="E153" s="30">
        <v>21</v>
      </c>
      <c r="F153" s="31">
        <v>3450</v>
      </c>
      <c r="G153" s="32">
        <f t="shared" si="111"/>
        <v>72450</v>
      </c>
      <c r="H153" s="32">
        <f t="shared" si="112"/>
        <v>14490</v>
      </c>
      <c r="I153" s="33">
        <f t="shared" si="113"/>
        <v>86940</v>
      </c>
      <c r="J153" s="32">
        <f t="shared" si="114"/>
        <v>7245</v>
      </c>
      <c r="K153" s="32">
        <f t="shared" si="115"/>
        <v>79695</v>
      </c>
      <c r="O153" s="34"/>
      <c r="Q153" s="34"/>
    </row>
    <row r="154" spans="1:25" s="29" customFormat="1" ht="21.6" customHeight="1" thickTop="1" thickBot="1" x14ac:dyDescent="0.35">
      <c r="A154" s="30" t="s">
        <v>209</v>
      </c>
      <c r="B154" s="30" t="s">
        <v>37</v>
      </c>
      <c r="C154" s="30" t="s">
        <v>145</v>
      </c>
      <c r="D154" s="30" t="s">
        <v>149</v>
      </c>
      <c r="E154" s="30">
        <v>18.5</v>
      </c>
      <c r="F154" s="31">
        <v>3750</v>
      </c>
      <c r="G154" s="32">
        <f t="shared" si="111"/>
        <v>69375</v>
      </c>
      <c r="H154" s="32">
        <f t="shared" si="112"/>
        <v>13875</v>
      </c>
      <c r="I154" s="33">
        <f t="shared" si="113"/>
        <v>83250</v>
      </c>
      <c r="J154" s="32">
        <f t="shared" si="114"/>
        <v>6937.5</v>
      </c>
      <c r="K154" s="32">
        <f t="shared" si="115"/>
        <v>76312.5</v>
      </c>
      <c r="O154" s="34"/>
      <c r="Q154" s="34"/>
    </row>
    <row r="155" spans="1:25" s="88" customFormat="1" ht="23.4" customHeight="1" thickTop="1" thickBot="1" x14ac:dyDescent="0.35">
      <c r="A155" s="30" t="s">
        <v>532</v>
      </c>
      <c r="B155" s="30" t="s">
        <v>37</v>
      </c>
      <c r="C155" s="30" t="s">
        <v>118</v>
      </c>
      <c r="D155" s="30" t="s">
        <v>10</v>
      </c>
      <c r="E155" s="30"/>
      <c r="F155" s="31">
        <v>1000</v>
      </c>
      <c r="G155" s="32">
        <f t="shared" si="111"/>
        <v>0</v>
      </c>
      <c r="H155" s="32">
        <f t="shared" si="112"/>
        <v>0</v>
      </c>
      <c r="I155" s="33">
        <f t="shared" si="113"/>
        <v>0</v>
      </c>
      <c r="J155" s="32"/>
      <c r="K155" s="32">
        <f t="shared" si="115"/>
        <v>0</v>
      </c>
      <c r="M155" s="29"/>
      <c r="N155" s="29"/>
      <c r="O155" s="34"/>
      <c r="P155" s="29"/>
      <c r="Q155" s="34"/>
      <c r="R155" s="29"/>
      <c r="S155" s="29"/>
      <c r="T155" s="29"/>
      <c r="U155" s="29"/>
      <c r="V155" s="29"/>
      <c r="W155" s="29"/>
      <c r="X155" s="29"/>
      <c r="Y155" s="29"/>
    </row>
    <row r="156" spans="1:25" s="88" customFormat="1" ht="24" customHeight="1" thickTop="1" thickBot="1" x14ac:dyDescent="0.35">
      <c r="A156" s="30" t="s">
        <v>40</v>
      </c>
      <c r="B156" s="30" t="s">
        <v>37</v>
      </c>
      <c r="C156" s="30" t="s">
        <v>72</v>
      </c>
      <c r="D156" s="30" t="s">
        <v>149</v>
      </c>
      <c r="E156" s="30">
        <v>21</v>
      </c>
      <c r="F156" s="31">
        <v>5150</v>
      </c>
      <c r="G156" s="32">
        <f t="shared" si="111"/>
        <v>108150</v>
      </c>
      <c r="H156" s="32">
        <f t="shared" si="112"/>
        <v>21630</v>
      </c>
      <c r="I156" s="33">
        <f t="shared" si="113"/>
        <v>129780</v>
      </c>
      <c r="J156" s="32">
        <f t="shared" si="114"/>
        <v>10815</v>
      </c>
      <c r="K156" s="32">
        <f t="shared" si="115"/>
        <v>118965</v>
      </c>
      <c r="M156" s="29"/>
      <c r="N156" s="29"/>
      <c r="O156" s="34"/>
      <c r="P156" s="29"/>
      <c r="Q156" s="34"/>
      <c r="R156" s="29"/>
      <c r="S156" s="29"/>
      <c r="T156" s="29"/>
      <c r="U156" s="29"/>
      <c r="V156" s="29"/>
      <c r="W156" s="29"/>
      <c r="X156" s="29"/>
      <c r="Y156" s="29"/>
    </row>
    <row r="157" spans="1:25" ht="18" thickTop="1" x14ac:dyDescent="0.3">
      <c r="G157" s="68">
        <f>SUM(G147:G156)</f>
        <v>313625</v>
      </c>
      <c r="H157" s="68">
        <f>SUM(H147:H156)</f>
        <v>62725</v>
      </c>
      <c r="I157" s="68">
        <f>SUM(I147:I156)</f>
        <v>376350</v>
      </c>
      <c r="J157" s="68">
        <f>SUM(J147:J156)</f>
        <v>31362.5</v>
      </c>
      <c r="K157" s="68">
        <f>SUM(K147:K156)</f>
        <v>344987.5</v>
      </c>
      <c r="O157" s="34"/>
      <c r="P157" s="29"/>
      <c r="Q157" s="34"/>
      <c r="R157" s="29"/>
      <c r="S157" s="29"/>
      <c r="T157" s="29"/>
      <c r="U157" s="29"/>
      <c r="V157" s="29"/>
      <c r="W157" s="29"/>
      <c r="X157" s="29"/>
    </row>
    <row r="159" spans="1:25" ht="18" thickBot="1" x14ac:dyDescent="0.35">
      <c r="A159" s="46" t="s">
        <v>618</v>
      </c>
      <c r="B159" s="46" t="s">
        <v>0</v>
      </c>
      <c r="C159" s="46" t="s">
        <v>1</v>
      </c>
      <c r="D159" s="46" t="s">
        <v>9</v>
      </c>
      <c r="E159" s="46"/>
      <c r="F159" s="47" t="s">
        <v>2</v>
      </c>
      <c r="G159" s="47" t="s">
        <v>3</v>
      </c>
      <c r="H159" s="47">
        <v>0.2</v>
      </c>
      <c r="I159" s="47" t="s">
        <v>4</v>
      </c>
      <c r="J159" s="47">
        <v>0.1</v>
      </c>
      <c r="K159" s="47" t="s">
        <v>5</v>
      </c>
      <c r="M159" s="2"/>
      <c r="N159" s="2"/>
      <c r="Y159" s="2"/>
    </row>
    <row r="160" spans="1:25" ht="18.600000000000001" thickTop="1" thickBot="1" x14ac:dyDescent="0.35">
      <c r="A160" s="69" t="s">
        <v>618</v>
      </c>
      <c r="B160" s="37" t="s">
        <v>565</v>
      </c>
      <c r="C160" s="37" t="s">
        <v>146</v>
      </c>
      <c r="D160" s="69" t="s">
        <v>297</v>
      </c>
      <c r="E160" s="37">
        <v>52</v>
      </c>
      <c r="F160" s="38">
        <v>2100</v>
      </c>
      <c r="G160" s="38">
        <f>E160*F160</f>
        <v>109200</v>
      </c>
      <c r="H160" s="38">
        <f>G160*H159</f>
        <v>21840</v>
      </c>
      <c r="I160" s="38">
        <f>SUM(G160:H160)</f>
        <v>131040</v>
      </c>
      <c r="J160" s="38">
        <f>G160*0.1</f>
        <v>10920</v>
      </c>
      <c r="K160" s="38">
        <f>G160+J160</f>
        <v>120120</v>
      </c>
      <c r="O160" s="21"/>
      <c r="P160" s="2"/>
      <c r="Q160" s="21"/>
      <c r="R160" s="2"/>
      <c r="S160" s="2"/>
      <c r="T160" s="2"/>
      <c r="U160" s="2"/>
      <c r="V160" s="2"/>
      <c r="W160" s="2"/>
      <c r="X160" s="2"/>
    </row>
    <row r="161" spans="1:25" ht="18.600000000000001" thickTop="1" thickBot="1" x14ac:dyDescent="0.35">
      <c r="A161" s="69" t="s">
        <v>618</v>
      </c>
      <c r="B161" s="37" t="s">
        <v>565</v>
      </c>
      <c r="C161" s="37" t="s">
        <v>146</v>
      </c>
      <c r="D161" s="69" t="s">
        <v>9</v>
      </c>
      <c r="E161" s="37"/>
      <c r="F161" s="38">
        <v>3050</v>
      </c>
      <c r="G161" s="56">
        <f>E161*F161</f>
        <v>0</v>
      </c>
      <c r="H161" s="56">
        <f>G161*0.2</f>
        <v>0</v>
      </c>
      <c r="I161" s="56">
        <f>SUM(G161:H161)</f>
        <v>0</v>
      </c>
      <c r="J161" s="38">
        <f t="shared" ref="J161:J162" si="116">G161*0.1</f>
        <v>0</v>
      </c>
      <c r="K161" s="56">
        <f>G161+J161</f>
        <v>0</v>
      </c>
    </row>
    <row r="162" spans="1:25" ht="18.600000000000001" thickTop="1" thickBot="1" x14ac:dyDescent="0.35">
      <c r="A162" s="69" t="s">
        <v>618</v>
      </c>
      <c r="B162" s="37" t="s">
        <v>551</v>
      </c>
      <c r="C162" s="37" t="s">
        <v>117</v>
      </c>
      <c r="D162" s="69" t="s">
        <v>47</v>
      </c>
      <c r="E162" s="37">
        <v>46</v>
      </c>
      <c r="F162" s="38">
        <v>2100</v>
      </c>
      <c r="G162" s="56">
        <f>E162*F162</f>
        <v>96600</v>
      </c>
      <c r="H162" s="56">
        <f>G162*0.2</f>
        <v>19320</v>
      </c>
      <c r="I162" s="56">
        <f>SUM(G162:H162)</f>
        <v>115920</v>
      </c>
      <c r="J162" s="38">
        <f t="shared" si="116"/>
        <v>9660</v>
      </c>
      <c r="K162" s="56">
        <f>G162+J162</f>
        <v>106260</v>
      </c>
    </row>
    <row r="163" spans="1:25" s="2" customFormat="1" ht="31.5" customHeight="1" thickTop="1" thickBot="1" x14ac:dyDescent="0.35">
      <c r="A163" s="53"/>
      <c r="B163" s="53"/>
      <c r="C163" s="53"/>
      <c r="D163" s="53"/>
      <c r="E163" s="53"/>
      <c r="F163" s="57"/>
      <c r="G163" s="58">
        <f>SUM(G160:G162)</f>
        <v>205800</v>
      </c>
      <c r="H163" s="58">
        <f t="shared" ref="H163:K163" si="117">SUM(H160:H162)</f>
        <v>41160</v>
      </c>
      <c r="I163" s="58">
        <f t="shared" si="117"/>
        <v>246960</v>
      </c>
      <c r="J163" s="58">
        <f t="shared" si="117"/>
        <v>20580</v>
      </c>
      <c r="K163" s="58">
        <f t="shared" si="117"/>
        <v>226380</v>
      </c>
      <c r="M163" s="39"/>
      <c r="N163" s="39"/>
      <c r="O163" s="40"/>
      <c r="P163" s="39"/>
      <c r="Q163" s="40"/>
      <c r="R163" s="39"/>
      <c r="S163" s="39"/>
      <c r="T163" s="39"/>
      <c r="U163" s="39"/>
      <c r="V163" s="39"/>
      <c r="W163" s="39"/>
      <c r="X163" s="39"/>
      <c r="Y163" s="39"/>
    </row>
    <row r="164" spans="1:25" ht="18" thickTop="1" x14ac:dyDescent="0.3"/>
    <row r="170" spans="1:25" x14ac:dyDescent="0.3">
      <c r="A170" s="179"/>
      <c r="B170" s="179"/>
      <c r="C170" s="180"/>
      <c r="D170" s="179"/>
    </row>
    <row r="171" spans="1:25" x14ac:dyDescent="0.3">
      <c r="A171" s="179"/>
      <c r="B171" s="179"/>
      <c r="D171" s="179"/>
    </row>
    <row r="172" spans="1:25" x14ac:dyDescent="0.3">
      <c r="A172" s="179"/>
      <c r="B172" s="179"/>
      <c r="D172" s="179"/>
    </row>
    <row r="173" spans="1:25" x14ac:dyDescent="0.3">
      <c r="A173" s="179"/>
      <c r="C173" s="179"/>
    </row>
    <row r="174" spans="1:25" x14ac:dyDescent="0.3">
      <c r="A174" s="179"/>
    </row>
    <row r="175" spans="1:25" x14ac:dyDescent="0.3">
      <c r="A175" s="179"/>
    </row>
    <row r="176" spans="1:25" x14ac:dyDescent="0.3">
      <c r="A176" s="179"/>
    </row>
    <row r="177" spans="1:1" x14ac:dyDescent="0.3">
      <c r="A177" s="179"/>
    </row>
    <row r="178" spans="1:1" x14ac:dyDescent="0.3">
      <c r="A178" s="179"/>
    </row>
    <row r="179" spans="1:1" x14ac:dyDescent="0.3">
      <c r="A179" s="179"/>
    </row>
    <row r="180" spans="1:1" x14ac:dyDescent="0.3">
      <c r="A180" s="179"/>
    </row>
    <row r="181" spans="1:1" x14ac:dyDescent="0.3">
      <c r="A181" s="179"/>
    </row>
    <row r="182" spans="1:1" x14ac:dyDescent="0.3">
      <c r="A182" s="179"/>
    </row>
    <row r="184" spans="1:1" x14ac:dyDescent="0.3">
      <c r="A184" s="179"/>
    </row>
    <row r="185" spans="1:1" x14ac:dyDescent="0.3">
      <c r="A185" s="179"/>
    </row>
    <row r="186" spans="1:1" x14ac:dyDescent="0.3">
      <c r="A186" s="179"/>
    </row>
    <row r="187" spans="1:1" x14ac:dyDescent="0.3">
      <c r="A187" s="179"/>
    </row>
    <row r="188" spans="1:1" x14ac:dyDescent="0.3">
      <c r="A188" s="179"/>
    </row>
    <row r="189" spans="1:1" x14ac:dyDescent="0.3">
      <c r="A189" s="179"/>
    </row>
    <row r="190" spans="1:1" x14ac:dyDescent="0.3">
      <c r="A190" s="179"/>
    </row>
    <row r="191" spans="1:1" x14ac:dyDescent="0.3">
      <c r="A191" s="179"/>
    </row>
    <row r="192" spans="1:1" x14ac:dyDescent="0.3">
      <c r="A192" s="179"/>
    </row>
    <row r="193" spans="1:1" x14ac:dyDescent="0.3">
      <c r="A193" s="179"/>
    </row>
    <row r="194" spans="1:1" x14ac:dyDescent="0.3">
      <c r="A194" s="179"/>
    </row>
  </sheetData>
  <mergeCells count="4">
    <mergeCell ref="X61:Y61"/>
    <mergeCell ref="Y51:Y52"/>
    <mergeCell ref="Y54:Y57"/>
    <mergeCell ref="S51:S52"/>
  </mergeCells>
  <phoneticPr fontId="30" type="noConversion"/>
  <pageMargins left="0.11811023622047245" right="0.11811023622047245" top="0.74803149606299213" bottom="0.74803149606299213" header="0.31496062992125984" footer="0.31496062992125984"/>
  <pageSetup paperSize="9" scale="2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85"/>
  <sheetViews>
    <sheetView topLeftCell="A411" zoomScaleNormal="100" workbookViewId="0">
      <selection activeCell="C417" sqref="C417:C437"/>
    </sheetView>
  </sheetViews>
  <sheetFormatPr defaultColWidth="8.88671875" defaultRowHeight="13.8" x14ac:dyDescent="0.25"/>
  <cols>
    <col min="1" max="1" width="19.33203125" style="182" customWidth="1"/>
    <col min="2" max="2" width="30" style="182" customWidth="1"/>
    <col min="3" max="3" width="28.5546875" style="182" customWidth="1"/>
    <col min="4" max="4" width="0.44140625" style="182" customWidth="1"/>
    <col min="5" max="5" width="14.33203125" style="309" customWidth="1"/>
    <col min="6" max="6" width="7.88671875" style="268" customWidth="1"/>
    <col min="7" max="7" width="14.5546875" style="269" bestFit="1" customWidth="1"/>
    <col min="8" max="8" width="16.5546875" style="269" customWidth="1"/>
    <col min="9" max="9" width="19.88671875" style="269" customWidth="1"/>
    <col min="10" max="10" width="18.33203125" style="269" customWidth="1"/>
    <col min="11" max="11" width="15.88671875" style="269" bestFit="1" customWidth="1"/>
    <col min="12" max="12" width="16.6640625" style="269" customWidth="1"/>
    <col min="13" max="13" width="8.88671875" style="173"/>
    <col min="14" max="14" width="13.6640625" style="173" bestFit="1" customWidth="1"/>
    <col min="15" max="16384" width="8.88671875" style="173"/>
  </cols>
  <sheetData>
    <row r="1" spans="1:14" ht="17.399999999999999" hidden="1" x14ac:dyDescent="0.3">
      <c r="A1" s="537" t="e">
        <f>#REF!</f>
        <v>#REF!</v>
      </c>
      <c r="B1" s="537"/>
      <c r="C1" s="537"/>
      <c r="D1" s="181"/>
    </row>
    <row r="2" spans="1:14" ht="15" hidden="1" thickTop="1" thickBot="1" x14ac:dyDescent="0.3">
      <c r="A2" s="171" t="s">
        <v>129</v>
      </c>
      <c r="B2" s="171" t="e">
        <f>#REF!</f>
        <v>#REF!</v>
      </c>
      <c r="C2" s="172" t="e">
        <f>#REF!</f>
        <v>#REF!</v>
      </c>
      <c r="D2" s="172"/>
      <c r="E2" s="310" t="e">
        <f>#REF!</f>
        <v>#REF!</v>
      </c>
      <c r="F2" s="311" t="e">
        <f>#REF!</f>
        <v>#REF!</v>
      </c>
      <c r="G2" s="270" t="e">
        <f>#REF!</f>
        <v>#REF!</v>
      </c>
      <c r="H2" s="270" t="e">
        <f>#REF!</f>
        <v>#REF!</v>
      </c>
      <c r="I2" s="270" t="e">
        <f>#REF!</f>
        <v>#REF!</v>
      </c>
      <c r="J2" s="270" t="e">
        <f>#REF!</f>
        <v>#REF!</v>
      </c>
      <c r="K2" s="270" t="e">
        <f>#REF!</f>
        <v>#REF!</v>
      </c>
      <c r="L2" s="270" t="e">
        <f>#REF!</f>
        <v>#REF!</v>
      </c>
    </row>
    <row r="3" spans="1:14" ht="19.2" hidden="1" customHeight="1" thickTop="1" thickBot="1" x14ac:dyDescent="0.3">
      <c r="A3" s="171" t="s">
        <v>169</v>
      </c>
      <c r="B3" s="171" t="e">
        <f>#REF!</f>
        <v>#REF!</v>
      </c>
      <c r="C3" s="172" t="e">
        <f>#REF!</f>
        <v>#REF!</v>
      </c>
      <c r="D3" s="172"/>
      <c r="E3" s="310" t="e">
        <f>#REF!</f>
        <v>#REF!</v>
      </c>
      <c r="F3" s="311" t="e">
        <f>#REF!</f>
        <v>#REF!</v>
      </c>
      <c r="G3" s="270" t="e">
        <f>#REF!</f>
        <v>#REF!</v>
      </c>
      <c r="H3" s="270" t="e">
        <f>#REF!</f>
        <v>#REF!</v>
      </c>
      <c r="I3" s="270" t="e">
        <f>#REF!</f>
        <v>#REF!</v>
      </c>
      <c r="J3" s="270" t="e">
        <f>#REF!</f>
        <v>#REF!</v>
      </c>
      <c r="K3" s="270" t="e">
        <f>#REF!</f>
        <v>#REF!</v>
      </c>
      <c r="L3" s="270" t="e">
        <f>#REF!</f>
        <v>#REF!</v>
      </c>
    </row>
    <row r="4" spans="1:14" s="186" customFormat="1" ht="19.2" hidden="1" customHeight="1" thickTop="1" thickBot="1" x14ac:dyDescent="0.3">
      <c r="A4" s="183" t="s">
        <v>271</v>
      </c>
      <c r="B4" s="184" t="s">
        <v>133</v>
      </c>
      <c r="C4" s="184"/>
      <c r="D4" s="184"/>
      <c r="E4" s="271" t="s">
        <v>272</v>
      </c>
      <c r="F4" s="272" t="e">
        <f>#REF!</f>
        <v>#REF!</v>
      </c>
      <c r="G4" s="273" t="e">
        <f>#REF!</f>
        <v>#REF!</v>
      </c>
      <c r="H4" s="273" t="e">
        <f t="shared" ref="H4" si="0">F4*G4</f>
        <v>#REF!</v>
      </c>
      <c r="I4" s="273" t="e">
        <f t="shared" ref="I4" si="1">H4*0.2</f>
        <v>#REF!</v>
      </c>
      <c r="J4" s="273" t="e">
        <f t="shared" ref="J4" si="2">SUM(H4:I4)</f>
        <v>#REF!</v>
      </c>
      <c r="K4" s="273" t="e">
        <f>H4*0.1</f>
        <v>#REF!</v>
      </c>
      <c r="L4" s="273" t="e">
        <f t="shared" ref="L4" si="3">H4+K4</f>
        <v>#REF!</v>
      </c>
    </row>
    <row r="5" spans="1:14" ht="15" hidden="1" x14ac:dyDescent="0.25">
      <c r="G5" s="274"/>
      <c r="H5" s="275" t="e">
        <f>SUM(H2:H4)</f>
        <v>#REF!</v>
      </c>
      <c r="I5" s="275" t="e">
        <f t="shared" ref="I5:L5" si="4">SUM(I2:I4)</f>
        <v>#REF!</v>
      </c>
      <c r="J5" s="275" t="e">
        <f t="shared" si="4"/>
        <v>#REF!</v>
      </c>
      <c r="K5" s="275" t="e">
        <f t="shared" si="4"/>
        <v>#REF!</v>
      </c>
      <c r="L5" s="275" t="e">
        <f t="shared" si="4"/>
        <v>#REF!</v>
      </c>
    </row>
    <row r="6" spans="1:14" ht="18" thickBot="1" x14ac:dyDescent="0.35">
      <c r="A6" s="529" t="s">
        <v>86</v>
      </c>
      <c r="B6" s="529"/>
      <c r="C6" s="529"/>
      <c r="D6" s="181"/>
    </row>
    <row r="7" spans="1:14" ht="15" thickTop="1" thickBot="1" x14ac:dyDescent="0.3">
      <c r="A7" s="467" t="str">
        <f>'YÜKLENİCİ ARAÇLARI'!A88</f>
        <v>ALYAN GIDA</v>
      </c>
      <c r="B7" s="467" t="str">
        <f>'YÜKLENİCİ ARAÇLARI'!B88</f>
        <v>HENDEK MEMUR</v>
      </c>
      <c r="C7" s="467" t="str">
        <f>'YÜKLENİCİ ARAÇLARI'!C88</f>
        <v>ADİL YILMAZ</v>
      </c>
      <c r="D7" s="467" t="str">
        <f>'YÜKLENİCİ ARAÇLARI'!D88</f>
        <v>54 S 0657</v>
      </c>
      <c r="E7" s="467" t="str">
        <f>'YÜKLENİCİ ARAÇLARI'!E88</f>
        <v>TEK</v>
      </c>
      <c r="F7" s="467">
        <f>'YÜKLENİCİ ARAÇLARI'!F88</f>
        <v>43</v>
      </c>
      <c r="G7" s="468">
        <f>'YÜKLENİCİ ARAÇLARI'!G88</f>
        <v>900</v>
      </c>
      <c r="H7" s="468">
        <f>'YÜKLENİCİ ARAÇLARI'!H88</f>
        <v>38700</v>
      </c>
      <c r="I7" s="468">
        <f>'YÜKLENİCİ ARAÇLARI'!I88</f>
        <v>7740</v>
      </c>
      <c r="J7" s="468">
        <f>'YÜKLENİCİ ARAÇLARI'!J88</f>
        <v>46440</v>
      </c>
      <c r="K7" s="468">
        <f>'YÜKLENİCİ ARAÇLARI'!K88</f>
        <v>3870</v>
      </c>
      <c r="L7" s="468">
        <f>'YÜKLENİCİ ARAÇLARI'!L88</f>
        <v>42570</v>
      </c>
    </row>
    <row r="8" spans="1:14" ht="15" thickTop="1" thickBot="1" x14ac:dyDescent="0.3">
      <c r="A8" s="467" t="str">
        <f>'YÜKLENİCİ ARAÇLARI'!A97</f>
        <v>ALYAN GIDA</v>
      </c>
      <c r="B8" s="467" t="str">
        <f>'YÜKLENİCİ ARAÇLARI'!B97</f>
        <v>HENDEK YENİMAHALLE</v>
      </c>
      <c r="C8" s="467" t="str">
        <f>'YÜKLENİCİ ARAÇLARI'!C97</f>
        <v>ADİL YILMAZ SEFA ÖZPİLAVCI</v>
      </c>
      <c r="D8" s="467" t="str">
        <f>'YÜKLENİCİ ARAÇLARI'!D97</f>
        <v>54 S 0798</v>
      </c>
      <c r="E8" s="467" t="str">
        <f>'YÜKLENİCİ ARAÇLARI'!E97</f>
        <v>ÇİFT</v>
      </c>
      <c r="F8" s="467">
        <f>'YÜKLENİCİ ARAÇLARI'!F97</f>
        <v>10</v>
      </c>
      <c r="G8" s="468">
        <f>'YÜKLENİCİ ARAÇLARI'!G97</f>
        <v>1100</v>
      </c>
      <c r="H8" s="468">
        <f>'YÜKLENİCİ ARAÇLARI'!H97</f>
        <v>11000</v>
      </c>
      <c r="I8" s="468">
        <f>'YÜKLENİCİ ARAÇLARI'!I97</f>
        <v>2200</v>
      </c>
      <c r="J8" s="468">
        <f>'YÜKLENİCİ ARAÇLARI'!J97</f>
        <v>13200</v>
      </c>
      <c r="K8" s="468">
        <f>'YÜKLENİCİ ARAÇLARI'!K97</f>
        <v>1100</v>
      </c>
      <c r="L8" s="468">
        <f>'YÜKLENİCİ ARAÇLARI'!L97</f>
        <v>12100</v>
      </c>
    </row>
    <row r="9" spans="1:14" ht="15" thickTop="1" thickBot="1" x14ac:dyDescent="0.3">
      <c r="A9" s="467" t="str">
        <f>'YÜKLENİCİ ARAÇLARI'!A98</f>
        <v>ALYAN GIDA</v>
      </c>
      <c r="B9" s="467" t="str">
        <f>'YÜKLENİCİ ARAÇLARI'!B98</f>
        <v>HENDEK YENİMAHALLE</v>
      </c>
      <c r="C9" s="467" t="str">
        <f>'YÜKLENİCİ ARAÇLARI'!C98</f>
        <v>ADİL YILMAZ SEFA ÖZPİLAVCI</v>
      </c>
      <c r="D9" s="467" t="str">
        <f>'YÜKLENİCİ ARAÇLARI'!D98</f>
        <v>54 S 0798</v>
      </c>
      <c r="E9" s="467" t="str">
        <f>'YÜKLENİCİ ARAÇLARI'!E98</f>
        <v>TEK</v>
      </c>
      <c r="F9" s="467">
        <f>'YÜKLENİCİ ARAÇLARI'!F98</f>
        <v>39</v>
      </c>
      <c r="G9" s="468">
        <f>'YÜKLENİCİ ARAÇLARI'!G98</f>
        <v>900</v>
      </c>
      <c r="H9" s="468">
        <f>'YÜKLENİCİ ARAÇLARI'!H98</f>
        <v>35100</v>
      </c>
      <c r="I9" s="468">
        <f>'YÜKLENİCİ ARAÇLARI'!I98</f>
        <v>7020</v>
      </c>
      <c r="J9" s="468">
        <f>'YÜKLENİCİ ARAÇLARI'!J98</f>
        <v>42120</v>
      </c>
      <c r="K9" s="468">
        <f>'YÜKLENİCİ ARAÇLARI'!K98</f>
        <v>3510</v>
      </c>
      <c r="L9" s="468">
        <f>'YÜKLENİCİ ARAÇLARI'!L98</f>
        <v>38610</v>
      </c>
    </row>
    <row r="10" spans="1:14" ht="15" thickTop="1" thickBot="1" x14ac:dyDescent="0.3">
      <c r="A10" s="467" t="str">
        <f>'YÜKLENİCİ ARAÇLARI'!A238</f>
        <v>BURDA BEBEK</v>
      </c>
      <c r="B10" s="467" t="str">
        <f>'YÜKLENİCİ ARAÇLARI'!B238</f>
        <v>MUSTAFA ASIM</v>
      </c>
      <c r="C10" s="467" t="str">
        <f>'YÜKLENİCİ ARAÇLARI'!C238</f>
        <v>ADİL YILMAZ</v>
      </c>
      <c r="D10" s="467">
        <f>'YÜKLENİCİ ARAÇLARI'!D238</f>
        <v>0</v>
      </c>
      <c r="E10" s="467" t="str">
        <f>'YÜKLENİCİ ARAÇLARI'!E238</f>
        <v>GRŞ/ÇK/TEK</v>
      </c>
      <c r="F10" s="467">
        <f>'YÜKLENİCİ ARAÇLARI'!F238</f>
        <v>30</v>
      </c>
      <c r="G10" s="468">
        <f>'YÜKLENİCİ ARAÇLARI'!G238</f>
        <v>900</v>
      </c>
      <c r="H10" s="468">
        <f>'YÜKLENİCİ ARAÇLARI'!H238</f>
        <v>27000</v>
      </c>
      <c r="I10" s="468">
        <f>'YÜKLENİCİ ARAÇLARI'!I238</f>
        <v>5400</v>
      </c>
      <c r="J10" s="468">
        <f>'YÜKLENİCİ ARAÇLARI'!J238</f>
        <v>32400</v>
      </c>
      <c r="K10" s="468">
        <f>'YÜKLENİCİ ARAÇLARI'!K238</f>
        <v>2700</v>
      </c>
      <c r="L10" s="468">
        <f>'YÜKLENİCİ ARAÇLARI'!L238</f>
        <v>29700</v>
      </c>
    </row>
    <row r="11" spans="1:14" ht="15" thickTop="1" thickBot="1" x14ac:dyDescent="0.3">
      <c r="A11" s="171" t="str">
        <f>'YÜKLENİCİ ARAÇLARI'!A95</f>
        <v>ALYAN GIDA</v>
      </c>
      <c r="B11" s="474" t="str">
        <f>'YÜKLENİCİ ARAÇLARI'!B95</f>
        <v>HENDEK SU KENARI İLAVE</v>
      </c>
      <c r="C11" s="474" t="str">
        <f>'YÜKLENİCİ ARAÇLARI'!C95</f>
        <v>ADİL YILMAZ E.GÜNEYSU</v>
      </c>
      <c r="D11" s="474" t="str">
        <f>'YÜKLENİCİ ARAÇLARI'!D95</f>
        <v>54  0881</v>
      </c>
      <c r="E11" s="474" t="str">
        <f>'YÜKLENİCİ ARAÇLARI'!E95</f>
        <v>ÇİFT</v>
      </c>
      <c r="F11" s="474">
        <f>'YÜKLENİCİ ARAÇLARI'!F95</f>
        <v>11</v>
      </c>
      <c r="G11" s="475">
        <f>'YÜKLENİCİ ARAÇLARI'!G95</f>
        <v>1250</v>
      </c>
      <c r="H11" s="475">
        <f>'YÜKLENİCİ ARAÇLARI'!H95</f>
        <v>13750</v>
      </c>
      <c r="I11" s="475">
        <f>'YÜKLENİCİ ARAÇLARI'!I95</f>
        <v>2750</v>
      </c>
      <c r="J11" s="475">
        <f>'YÜKLENİCİ ARAÇLARI'!J95</f>
        <v>16500</v>
      </c>
      <c r="K11" s="475">
        <f>'YÜKLENİCİ ARAÇLARI'!K95</f>
        <v>1375</v>
      </c>
      <c r="L11" s="475">
        <f>'YÜKLENİCİ ARAÇLARI'!L95</f>
        <v>15125</v>
      </c>
      <c r="M11" s="173" t="s">
        <v>588</v>
      </c>
      <c r="N11" s="485">
        <f>SUM(L11:L12)</f>
        <v>60170</v>
      </c>
    </row>
    <row r="12" spans="1:14" ht="15" thickTop="1" thickBot="1" x14ac:dyDescent="0.3">
      <c r="A12" s="171" t="str">
        <f>'YÜKLENİCİ ARAÇLARI'!A96</f>
        <v>ALYAN GIDA</v>
      </c>
      <c r="B12" s="474" t="str">
        <f>'YÜKLENİCİ ARAÇLARI'!B96</f>
        <v>HENDEK SU KENARI İLAVE</v>
      </c>
      <c r="C12" s="474" t="str">
        <f>'YÜKLENİCİ ARAÇLARI'!C96</f>
        <v>ADİL YILMAZ E.GÜNEYSU</v>
      </c>
      <c r="D12" s="474" t="str">
        <f>'YÜKLENİCİ ARAÇLARI'!D96</f>
        <v>54  0881</v>
      </c>
      <c r="E12" s="474" t="str">
        <f>'YÜKLENİCİ ARAÇLARI'!E96</f>
        <v>TEK</v>
      </c>
      <c r="F12" s="474">
        <f>'YÜKLENİCİ ARAÇLARI'!F96</f>
        <v>42</v>
      </c>
      <c r="G12" s="475">
        <f>'YÜKLENİCİ ARAÇLARI'!G96</f>
        <v>975</v>
      </c>
      <c r="H12" s="475">
        <f>'YÜKLENİCİ ARAÇLARI'!H96</f>
        <v>40950</v>
      </c>
      <c r="I12" s="475">
        <f>'YÜKLENİCİ ARAÇLARI'!I96</f>
        <v>8190</v>
      </c>
      <c r="J12" s="475">
        <f>'YÜKLENİCİ ARAÇLARI'!J96</f>
        <v>49140</v>
      </c>
      <c r="K12" s="475">
        <f>'YÜKLENİCİ ARAÇLARI'!K96</f>
        <v>4095</v>
      </c>
      <c r="L12" s="475">
        <f>'YÜKLENİCİ ARAÇLARI'!L96</f>
        <v>45045</v>
      </c>
      <c r="M12" s="173" t="s">
        <v>589</v>
      </c>
      <c r="N12" s="486">
        <v>51200</v>
      </c>
    </row>
    <row r="13" spans="1:14" ht="15" thickTop="1" thickBot="1" x14ac:dyDescent="0.3">
      <c r="A13" s="467" t="str">
        <f>'YÜKLENİCİ ARAÇLARI'!A290</f>
        <v>ISILSAN</v>
      </c>
      <c r="B13" s="467" t="str">
        <f>'YÜKLENİCİ ARAÇLARI'!B290</f>
        <v>HENDEK KÖY YEŞİLYURT/YAĞBASAN</v>
      </c>
      <c r="C13" s="467" t="str">
        <f>'YÜKLENİCİ ARAÇLARI'!C290</f>
        <v>ADİL YILMAZ/M ÇİLEK</v>
      </c>
      <c r="D13" s="467" t="str">
        <f>'YÜKLENİCİ ARAÇLARI'!D290</f>
        <v>55 S 0210</v>
      </c>
      <c r="E13" s="467" t="str">
        <f>'YÜKLENİCİ ARAÇLARI'!E290</f>
        <v>VRD</v>
      </c>
      <c r="F13" s="467">
        <f>'YÜKLENİCİ ARAÇLARI'!F290</f>
        <v>38.5</v>
      </c>
      <c r="G13" s="468">
        <f>'YÜKLENİCİ ARAÇLARI'!G290</f>
        <v>2000</v>
      </c>
      <c r="H13" s="468">
        <f>'YÜKLENİCİ ARAÇLARI'!H290</f>
        <v>77000</v>
      </c>
      <c r="I13" s="468">
        <f>'YÜKLENİCİ ARAÇLARI'!I290</f>
        <v>15400</v>
      </c>
      <c r="J13" s="468">
        <f>'YÜKLENİCİ ARAÇLARI'!J290</f>
        <v>92400</v>
      </c>
      <c r="K13" s="468">
        <f>'YÜKLENİCİ ARAÇLARI'!K290</f>
        <v>7700</v>
      </c>
      <c r="L13" s="468">
        <f>'YÜKLENİCİ ARAÇLARI'!L290</f>
        <v>84700</v>
      </c>
      <c r="N13" s="485">
        <f>N11-N12</f>
        <v>8970</v>
      </c>
    </row>
    <row r="14" spans="1:14" ht="15" thickTop="1" thickBot="1" x14ac:dyDescent="0.3">
      <c r="A14" s="467" t="str">
        <f>'YÜKLENİCİ ARAÇLARI'!A291</f>
        <v>ISILSAN</v>
      </c>
      <c r="B14" s="467" t="str">
        <f>'YÜKLENİCİ ARAÇLARI'!B291</f>
        <v>HENDEK KÖY YEŞİLYURT/YAĞBASAN</v>
      </c>
      <c r="C14" s="467" t="str">
        <f>'YÜKLENİCİ ARAÇLARI'!C291</f>
        <v>ADİL YILMAZ/M ÇİLEK</v>
      </c>
      <c r="D14" s="467" t="str">
        <f>'YÜKLENİCİ ARAÇLARI'!D291</f>
        <v>56 S 0210</v>
      </c>
      <c r="E14" s="467" t="str">
        <f>'YÜKLENİCİ ARAÇLARI'!E291</f>
        <v>MRK/MES</v>
      </c>
      <c r="F14" s="467">
        <f>'YÜKLENİCİ ARAÇLARI'!F291</f>
        <v>7</v>
      </c>
      <c r="G14" s="468">
        <f>'YÜKLENİCİ ARAÇLARI'!G291</f>
        <v>1160</v>
      </c>
      <c r="H14" s="468">
        <f>'YÜKLENİCİ ARAÇLARI'!H291</f>
        <v>8120</v>
      </c>
      <c r="I14" s="468">
        <f>'YÜKLENİCİ ARAÇLARI'!I291</f>
        <v>1624</v>
      </c>
      <c r="J14" s="468">
        <f>'YÜKLENİCİ ARAÇLARI'!J291</f>
        <v>9744</v>
      </c>
      <c r="K14" s="468">
        <f>'YÜKLENİCİ ARAÇLARI'!K291</f>
        <v>812</v>
      </c>
      <c r="L14" s="468">
        <f>'YÜKLENİCİ ARAÇLARI'!L291</f>
        <v>8932</v>
      </c>
    </row>
    <row r="15" spans="1:14" ht="15" thickTop="1" thickBot="1" x14ac:dyDescent="0.3">
      <c r="A15" s="467" t="str">
        <f>'YÜKLENİCİ ARAÇLARI'!A292</f>
        <v>ISILSAN</v>
      </c>
      <c r="B15" s="467" t="str">
        <f>'YÜKLENİCİ ARAÇLARI'!B292</f>
        <v>HENDEK KÖY YEŞİLYURT/YAĞBASAN</v>
      </c>
      <c r="C15" s="467" t="str">
        <f>'YÜKLENİCİ ARAÇLARI'!C292</f>
        <v>ADİL YILMAZ/M ÇİLEK</v>
      </c>
      <c r="D15" s="467" t="str">
        <f>'YÜKLENİCİ ARAÇLARI'!D292</f>
        <v>57 S 0210</v>
      </c>
      <c r="E15" s="467" t="str">
        <f>'YÜKLENİCİ ARAÇLARI'!E292</f>
        <v>KÖY/MESAİ</v>
      </c>
      <c r="F15" s="467">
        <f>'YÜKLENİCİ ARAÇLARI'!F292</f>
        <v>4</v>
      </c>
      <c r="G15" s="468">
        <f>'YÜKLENİCİ ARAÇLARI'!G292</f>
        <v>1300</v>
      </c>
      <c r="H15" s="468">
        <f>'YÜKLENİCİ ARAÇLARI'!H292</f>
        <v>5200</v>
      </c>
      <c r="I15" s="468">
        <f>'YÜKLENİCİ ARAÇLARI'!I292</f>
        <v>1040</v>
      </c>
      <c r="J15" s="468">
        <f>'YÜKLENİCİ ARAÇLARI'!J292</f>
        <v>6240</v>
      </c>
      <c r="K15" s="468">
        <f>'YÜKLENİCİ ARAÇLARI'!K292</f>
        <v>520</v>
      </c>
      <c r="L15" s="468">
        <f>'YÜKLENİCİ ARAÇLARI'!L292</f>
        <v>5720</v>
      </c>
    </row>
    <row r="16" spans="1:14" ht="15" thickTop="1" thickBot="1" x14ac:dyDescent="0.3">
      <c r="A16" s="467" t="str">
        <f>'YÜKLENİCİ ARAÇLARI'!A293</f>
        <v>ISILSAN</v>
      </c>
      <c r="B16" s="467" t="str">
        <f>'YÜKLENİCİ ARAÇLARI'!B293</f>
        <v>CUMA</v>
      </c>
      <c r="C16" s="467" t="str">
        <f>'YÜKLENİCİ ARAÇLARI'!C293</f>
        <v>ADİL YILMAZ/M ÇİLEK</v>
      </c>
      <c r="D16" s="467" t="str">
        <f>'YÜKLENİCİ ARAÇLARI'!D293</f>
        <v>58 S 0210</v>
      </c>
      <c r="E16" s="467" t="str">
        <f>'YÜKLENİCİ ARAÇLARI'!E293</f>
        <v>CUMA</v>
      </c>
      <c r="F16" s="467">
        <f>'YÜKLENİCİ ARAÇLARI'!F293</f>
        <v>3</v>
      </c>
      <c r="G16" s="468">
        <f>'YÜKLENİCİ ARAÇLARI'!G293</f>
        <v>900</v>
      </c>
      <c r="H16" s="468">
        <f>'YÜKLENİCİ ARAÇLARI'!H293</f>
        <v>2700</v>
      </c>
      <c r="I16" s="468">
        <f>'YÜKLENİCİ ARAÇLARI'!I293</f>
        <v>540</v>
      </c>
      <c r="J16" s="468">
        <f>'YÜKLENİCİ ARAÇLARI'!J293</f>
        <v>3240</v>
      </c>
      <c r="K16" s="468">
        <f>'YÜKLENİCİ ARAÇLARI'!K293</f>
        <v>270</v>
      </c>
      <c r="L16" s="468">
        <f>'YÜKLENİCİ ARAÇLARI'!L293</f>
        <v>2970</v>
      </c>
    </row>
    <row r="17" spans="1:12" ht="15" thickTop="1" thickBot="1" x14ac:dyDescent="0.3">
      <c r="A17" s="467" t="str">
        <f>'YÜKLENİCİ ARAÇLARI'!A222</f>
        <v>TAVSAN</v>
      </c>
      <c r="B17" s="467" t="str">
        <f>'YÜKLENİCİ ARAÇLARI'!B222</f>
        <v xml:space="preserve">HENDEK 4  İLAVE </v>
      </c>
      <c r="C17" s="467" t="str">
        <f>'YÜKLENİCİ ARAÇLARI'!C222</f>
        <v>ADİL YILMAZ</v>
      </c>
      <c r="D17" s="467">
        <f>'YÜKLENİCİ ARAÇLARI'!D222</f>
        <v>0</v>
      </c>
      <c r="E17" s="467" t="str">
        <f>'YÜKLENİCİ ARAÇLARI'!E222</f>
        <v>GRŞ/ÇIKIŞ</v>
      </c>
      <c r="F17" s="467">
        <f>'YÜKLENİCİ ARAÇLARI'!F222</f>
        <v>18</v>
      </c>
      <c r="G17" s="468">
        <f>'YÜKLENİCİ ARAÇLARI'!G222</f>
        <v>1800</v>
      </c>
      <c r="H17" s="468">
        <f>'YÜKLENİCİ ARAÇLARI'!H222</f>
        <v>32400</v>
      </c>
      <c r="I17" s="468">
        <f>'YÜKLENİCİ ARAÇLARI'!I222</f>
        <v>6480</v>
      </c>
      <c r="J17" s="468">
        <f>'YÜKLENİCİ ARAÇLARI'!J222</f>
        <v>38880</v>
      </c>
      <c r="K17" s="468">
        <f>'YÜKLENİCİ ARAÇLARI'!K222</f>
        <v>3240</v>
      </c>
      <c r="L17" s="468">
        <f>'YÜKLENİCİ ARAÇLARI'!L222</f>
        <v>35640</v>
      </c>
    </row>
    <row r="18" spans="1:12" ht="15" thickTop="1" thickBot="1" x14ac:dyDescent="0.3">
      <c r="F18" s="276"/>
      <c r="G18" s="277"/>
      <c r="H18" s="265">
        <f>SUM(H7:H17)</f>
        <v>291920</v>
      </c>
      <c r="I18" s="265">
        <f>SUM(I7:I17)</f>
        <v>58384</v>
      </c>
      <c r="J18" s="265">
        <f>SUM(J7:J17)</f>
        <v>350304</v>
      </c>
      <c r="K18" s="265">
        <f>SUM(K7:K17)</f>
        <v>29192</v>
      </c>
      <c r="L18" s="265">
        <f>SUM(L7:L17)</f>
        <v>321112</v>
      </c>
    </row>
    <row r="19" spans="1:12" ht="14.4" thickTop="1" x14ac:dyDescent="0.25">
      <c r="F19" s="276"/>
      <c r="G19" s="277"/>
      <c r="H19" s="277"/>
      <c r="I19" s="277"/>
      <c r="J19" s="277"/>
      <c r="K19" s="277"/>
      <c r="L19" s="277"/>
    </row>
    <row r="20" spans="1:12" ht="18" thickBot="1" x14ac:dyDescent="0.35">
      <c r="A20" s="538" t="s">
        <v>492</v>
      </c>
      <c r="B20" s="538"/>
      <c r="C20" s="538"/>
      <c r="D20" s="181"/>
    </row>
    <row r="21" spans="1:12" ht="15" thickTop="1" thickBot="1" x14ac:dyDescent="0.3">
      <c r="A21" s="467" t="str">
        <f>'YÜKLENİCİ ARAÇLARI'!A82</f>
        <v>ALYAN GIDA</v>
      </c>
      <c r="B21" s="467" t="str">
        <f>'YÜKLENİCİ ARAÇLARI'!B82</f>
        <v>HENDEK SARIDEDE Y OSM B.T</v>
      </c>
      <c r="C21" s="467" t="str">
        <f>'YÜKLENİCİ ARAÇLARI'!C82</f>
        <v>AHMET ATABEK</v>
      </c>
      <c r="D21" s="467" t="str">
        <f>'YÜKLENİCİ ARAÇLARI'!D82</f>
        <v>54 S 1187</v>
      </c>
      <c r="E21" s="467" t="str">
        <f>'YÜKLENİCİ ARAÇLARI'!E82</f>
        <v>ÇİFT</v>
      </c>
      <c r="F21" s="467">
        <f>'YÜKLENİCİ ARAÇLARI'!F82</f>
        <v>41</v>
      </c>
      <c r="G21" s="468">
        <f>'YÜKLENİCİ ARAÇLARI'!G82</f>
        <v>1100</v>
      </c>
      <c r="H21" s="468">
        <f>'YÜKLENİCİ ARAÇLARI'!H82</f>
        <v>45100</v>
      </c>
      <c r="I21" s="468">
        <f>'YÜKLENİCİ ARAÇLARI'!I82</f>
        <v>9020</v>
      </c>
      <c r="J21" s="468">
        <f>'YÜKLENİCİ ARAÇLARI'!J82</f>
        <v>54120</v>
      </c>
      <c r="K21" s="468">
        <f>'YÜKLENİCİ ARAÇLARI'!K82</f>
        <v>4510</v>
      </c>
      <c r="L21" s="468">
        <f>'YÜKLENİCİ ARAÇLARI'!L82</f>
        <v>49610</v>
      </c>
    </row>
    <row r="22" spans="1:12" ht="15" thickTop="1" thickBot="1" x14ac:dyDescent="0.3">
      <c r="A22" s="467" t="str">
        <f>'YÜKLENİCİ ARAÇLARI'!A83</f>
        <v>ALYAN GIDA</v>
      </c>
      <c r="B22" s="467" t="str">
        <f>'YÜKLENİCİ ARAÇLARI'!B83</f>
        <v>HENDEK SARIDEDE Y OSM B.T</v>
      </c>
      <c r="C22" s="467" t="str">
        <f>'YÜKLENİCİ ARAÇLARI'!C83</f>
        <v>AHMET ATABEK</v>
      </c>
      <c r="D22" s="467" t="str">
        <f>'YÜKLENİCİ ARAÇLARI'!D83</f>
        <v>54 S 1187</v>
      </c>
      <c r="E22" s="467" t="str">
        <f>'YÜKLENİCİ ARAÇLARI'!E83</f>
        <v>TEK</v>
      </c>
      <c r="F22" s="467">
        <f>'YÜKLENİCİ ARAÇLARI'!F83</f>
        <v>11</v>
      </c>
      <c r="G22" s="468">
        <f>'YÜKLENİCİ ARAÇLARI'!G83</f>
        <v>900</v>
      </c>
      <c r="H22" s="469">
        <f>'YÜKLENİCİ ARAÇLARI'!H83</f>
        <v>9900</v>
      </c>
      <c r="I22" s="469">
        <f>'YÜKLENİCİ ARAÇLARI'!I83</f>
        <v>1980</v>
      </c>
      <c r="J22" s="469">
        <f>'YÜKLENİCİ ARAÇLARI'!J83</f>
        <v>11880</v>
      </c>
      <c r="K22" s="469">
        <f>'YÜKLENİCİ ARAÇLARI'!K83</f>
        <v>990</v>
      </c>
      <c r="L22" s="469">
        <f>'YÜKLENİCİ ARAÇLARI'!L83</f>
        <v>10890</v>
      </c>
    </row>
    <row r="23" spans="1:12" ht="16.2" thickTop="1" thickBot="1" x14ac:dyDescent="0.3">
      <c r="H23" s="263">
        <f>SUM(H21:H22)</f>
        <v>55000</v>
      </c>
      <c r="I23" s="263">
        <f>SUM(I21:I22)</f>
        <v>11000</v>
      </c>
      <c r="J23" s="263">
        <f>SUM(J21:J22)</f>
        <v>66000</v>
      </c>
      <c r="K23" s="263">
        <f>SUM(K21:K22)</f>
        <v>5500</v>
      </c>
      <c r="L23" s="263">
        <f>SUM(L21:L22)</f>
        <v>60500</v>
      </c>
    </row>
    <row r="24" spans="1:12" ht="18.600000000000001" thickTop="1" thickBot="1" x14ac:dyDescent="0.35">
      <c r="A24" s="529" t="s">
        <v>168</v>
      </c>
      <c r="B24" s="529"/>
      <c r="C24" s="529"/>
      <c r="D24" s="181"/>
    </row>
    <row r="25" spans="1:12" ht="15" thickTop="1" thickBot="1" x14ac:dyDescent="0.3">
      <c r="A25" s="467" t="str">
        <f>'YÜKLENİCİ ARAÇLARI'!A217</f>
        <v>TAVSAN</v>
      </c>
      <c r="B25" s="467" t="str">
        <f>'YÜKLENİCİ ARAÇLARI'!B217</f>
        <v>HENDEK 2</v>
      </c>
      <c r="C25" s="467" t="str">
        <f>'YÜKLENİCİ ARAÇLARI'!C217</f>
        <v>AHMET CAN KAHVECİ</v>
      </c>
      <c r="D25" s="467">
        <f>'YÜKLENİCİ ARAÇLARI'!D217</f>
        <v>0</v>
      </c>
      <c r="E25" s="467" t="str">
        <f>'YÜKLENİCİ ARAÇLARI'!E217</f>
        <v>GRŞ/ÇIKIŞ</v>
      </c>
      <c r="F25" s="467">
        <f>'YÜKLENİCİ ARAÇLARI'!F216</f>
        <v>18</v>
      </c>
      <c r="G25" s="468">
        <f>'YÜKLENİCİ ARAÇLARI'!G217</f>
        <v>1800</v>
      </c>
      <c r="H25" s="468">
        <f>'YÜKLENİCİ ARAÇLARI'!H217</f>
        <v>45000</v>
      </c>
      <c r="I25" s="468">
        <f>'YÜKLENİCİ ARAÇLARI'!I217</f>
        <v>9000</v>
      </c>
      <c r="J25" s="468">
        <f>'YÜKLENİCİ ARAÇLARI'!J217</f>
        <v>54000</v>
      </c>
      <c r="K25" s="468">
        <f>'YÜKLENİCİ ARAÇLARI'!K217</f>
        <v>4500</v>
      </c>
      <c r="L25" s="468">
        <f>'YÜKLENİCİ ARAÇLARI'!L217</f>
        <v>49500</v>
      </c>
    </row>
    <row r="26" spans="1:12" s="186" customFormat="1" ht="19.2" hidden="1" customHeight="1" thickTop="1" thickBot="1" x14ac:dyDescent="0.3">
      <c r="A26" s="183" t="e">
        <f>#REF!</f>
        <v>#REF!</v>
      </c>
      <c r="B26" s="184" t="e">
        <f>#REF!</f>
        <v>#REF!</v>
      </c>
      <c r="C26" s="184" t="e">
        <f>#REF!</f>
        <v>#REF!</v>
      </c>
      <c r="D26" s="184"/>
      <c r="E26" s="271" t="e">
        <f>#REF!</f>
        <v>#REF!</v>
      </c>
      <c r="F26" s="271" t="e">
        <f>#REF!</f>
        <v>#REF!</v>
      </c>
      <c r="G26" s="273" t="e">
        <f>#REF!</f>
        <v>#REF!</v>
      </c>
      <c r="H26" s="273" t="e">
        <f t="shared" ref="H26" si="5">F26*G26</f>
        <v>#REF!</v>
      </c>
      <c r="I26" s="273" t="e">
        <f t="shared" ref="I26" si="6">H26*0.2</f>
        <v>#REF!</v>
      </c>
      <c r="J26" s="273" t="e">
        <f t="shared" ref="J26" si="7">SUM(H26:I26)</f>
        <v>#REF!</v>
      </c>
      <c r="K26" s="273" t="e">
        <f t="shared" ref="K26" si="8">H26*0.1</f>
        <v>#REF!</v>
      </c>
      <c r="L26" s="273" t="e">
        <f t="shared" ref="L26" si="9">H26+K26</f>
        <v>#REF!</v>
      </c>
    </row>
    <row r="27" spans="1:12" s="186" customFormat="1" ht="19.2" hidden="1" customHeight="1" thickTop="1" thickBot="1" x14ac:dyDescent="0.3">
      <c r="A27" s="183" t="s">
        <v>131</v>
      </c>
      <c r="B27" s="184" t="s">
        <v>168</v>
      </c>
      <c r="C27" s="184" t="s">
        <v>276</v>
      </c>
      <c r="D27" s="184"/>
      <c r="E27" s="271" t="s">
        <v>9</v>
      </c>
      <c r="F27" s="272"/>
      <c r="G27" s="273">
        <v>400</v>
      </c>
      <c r="H27" s="278">
        <f t="shared" ref="H27" si="10">F27*G27</f>
        <v>0</v>
      </c>
      <c r="I27" s="278">
        <f t="shared" ref="I27" si="11">H27*0.2</f>
        <v>0</v>
      </c>
      <c r="J27" s="278">
        <f t="shared" ref="J27" si="12">SUM(H27:I27)</f>
        <v>0</v>
      </c>
      <c r="K27" s="278">
        <f t="shared" ref="K27" si="13">H27*0.1</f>
        <v>0</v>
      </c>
      <c r="L27" s="278">
        <f t="shared" ref="L27" si="14">H27+K27</f>
        <v>0</v>
      </c>
    </row>
    <row r="28" spans="1:12" ht="16.2" thickTop="1" thickBot="1" x14ac:dyDescent="0.3">
      <c r="G28" s="274"/>
      <c r="H28" s="262">
        <f>SUM(H25)</f>
        <v>45000</v>
      </c>
      <c r="I28" s="262">
        <f t="shared" ref="I28:L28" si="15">SUM(I25)</f>
        <v>9000</v>
      </c>
      <c r="J28" s="262">
        <f t="shared" si="15"/>
        <v>54000</v>
      </c>
      <c r="K28" s="262">
        <f t="shared" si="15"/>
        <v>4500</v>
      </c>
      <c r="L28" s="262">
        <f t="shared" si="15"/>
        <v>49500</v>
      </c>
    </row>
    <row r="29" spans="1:12" ht="18.600000000000001" thickTop="1" thickBot="1" x14ac:dyDescent="0.35">
      <c r="A29" s="538" t="s">
        <v>375</v>
      </c>
      <c r="B29" s="538"/>
      <c r="C29" s="538"/>
      <c r="D29" s="181"/>
    </row>
    <row r="30" spans="1:12" ht="15" thickTop="1" thickBot="1" x14ac:dyDescent="0.3">
      <c r="A30" s="467" t="str">
        <f>'YÜKLENİCİ ARAÇLARI'!A63</f>
        <v>TÜRESAŞ</v>
      </c>
      <c r="B30" s="467" t="str">
        <f>'YÜKLENİCİ ARAÇLARI'!B63</f>
        <v>GEYVE</v>
      </c>
      <c r="C30" s="467" t="str">
        <f>'YÜKLENİCİ ARAÇLARI'!C63</f>
        <v>ALİ BAHRİ DEMİR</v>
      </c>
      <c r="D30" s="467"/>
      <c r="E30" s="467" t="str">
        <f>'YÜKLENİCİ ARAÇLARI'!E63</f>
        <v>GRŞ/ÇKŞ</v>
      </c>
      <c r="F30" s="467">
        <f>'YÜKLENİCİ ARAÇLARI'!F63</f>
        <v>19</v>
      </c>
      <c r="G30" s="468">
        <f>'YÜKLENİCİ ARAÇLARI'!G63</f>
        <v>3750</v>
      </c>
      <c r="H30" s="469">
        <f>'YÜKLENİCİ ARAÇLARI'!H63</f>
        <v>71250</v>
      </c>
      <c r="I30" s="469">
        <f>'YÜKLENİCİ ARAÇLARI'!I63</f>
        <v>14250</v>
      </c>
      <c r="J30" s="469">
        <f>'YÜKLENİCİ ARAÇLARI'!J63</f>
        <v>85500</v>
      </c>
      <c r="K30" s="469">
        <f>'YÜKLENİCİ ARAÇLARI'!K63</f>
        <v>7125</v>
      </c>
      <c r="L30" s="469">
        <f>'YÜKLENİCİ ARAÇLARI'!L63</f>
        <v>78375</v>
      </c>
    </row>
    <row r="31" spans="1:12" ht="16.2" thickTop="1" thickBot="1" x14ac:dyDescent="0.3">
      <c r="H31" s="263">
        <f>SUM(H30:H30)</f>
        <v>71250</v>
      </c>
      <c r="I31" s="263">
        <f>SUM(I30:I30)</f>
        <v>14250</v>
      </c>
      <c r="J31" s="263">
        <f>SUM(J30:J30)</f>
        <v>85500</v>
      </c>
      <c r="K31" s="263">
        <f>SUM(K30:K30)</f>
        <v>7125</v>
      </c>
      <c r="L31" s="263">
        <f>SUM(L30:L30)</f>
        <v>78375</v>
      </c>
    </row>
    <row r="32" spans="1:12" ht="18.600000000000001" thickTop="1" thickBot="1" x14ac:dyDescent="0.35">
      <c r="A32" s="538" t="s">
        <v>409</v>
      </c>
      <c r="B32" s="538"/>
      <c r="C32" s="538"/>
      <c r="D32" s="181"/>
    </row>
    <row r="33" spans="1:12" ht="15" thickTop="1" thickBot="1" x14ac:dyDescent="0.3">
      <c r="A33" s="467" t="str">
        <f>'YÜKLENİCİ ARAÇLARI'!A165</f>
        <v>GEDİK KAYNAK</v>
      </c>
      <c r="B33" s="467" t="str">
        <f>'YÜKLENİCİ ARAÇLARI'!B165</f>
        <v>KAYNARCA SU KEN.SİVRİ TEPE</v>
      </c>
      <c r="C33" s="467" t="str">
        <f>'YÜKLENİCİ ARAÇLARI'!C165</f>
        <v>ALİCAN BAŞER</v>
      </c>
      <c r="D33" s="467">
        <f>'YÜKLENİCİ ARAÇLARI'!D165</f>
        <v>0</v>
      </c>
      <c r="E33" s="467" t="str">
        <f>'YÜKLENİCİ ARAÇLARI'!E165</f>
        <v>VRD</v>
      </c>
      <c r="F33" s="467">
        <f>'YÜKLENİCİ ARAÇLARI'!F165</f>
        <v>14</v>
      </c>
      <c r="G33" s="468">
        <f>'YÜKLENİCİ ARAÇLARI'!G165</f>
        <v>700</v>
      </c>
      <c r="H33" s="468">
        <f>'YÜKLENİCİ ARAÇLARI'!H165</f>
        <v>9800</v>
      </c>
      <c r="I33" s="468">
        <f>'YÜKLENİCİ ARAÇLARI'!I165</f>
        <v>1960</v>
      </c>
      <c r="J33" s="468">
        <f>'YÜKLENİCİ ARAÇLARI'!J165</f>
        <v>11760</v>
      </c>
      <c r="K33" s="468">
        <f>'YÜKLENİCİ ARAÇLARI'!K165</f>
        <v>980</v>
      </c>
      <c r="L33" s="468">
        <f>'YÜKLENİCİ ARAÇLARI'!L165</f>
        <v>10780</v>
      </c>
    </row>
    <row r="34" spans="1:12" ht="15" thickTop="1" thickBot="1" x14ac:dyDescent="0.3">
      <c r="A34" s="467" t="str">
        <f>'YÜKLENİCİ ARAÇLARI'!A166</f>
        <v>GEDİK KAYNAK</v>
      </c>
      <c r="B34" s="467" t="str">
        <f>'YÜKLENİCİ ARAÇLARI'!B166</f>
        <v>KAYNARCA SU KEN.SİVRİ TEPE</v>
      </c>
      <c r="C34" s="467" t="str">
        <f>'YÜKLENİCİ ARAÇLARI'!C166</f>
        <v>ALİCAN BAŞER</v>
      </c>
      <c r="D34" s="467">
        <f>'YÜKLENİCİ ARAÇLARI'!D166</f>
        <v>0</v>
      </c>
      <c r="E34" s="467" t="str">
        <f>'YÜKLENİCİ ARAÇLARI'!E166</f>
        <v>TEK YÖN G/Ç</v>
      </c>
      <c r="F34" s="467">
        <f>'YÜKLENİCİ ARAÇLARI'!F166</f>
        <v>42</v>
      </c>
      <c r="G34" s="468">
        <f>'YÜKLENİCİ ARAÇLARI'!G166</f>
        <v>1250</v>
      </c>
      <c r="H34" s="469">
        <f>'YÜKLENİCİ ARAÇLARI'!H166</f>
        <v>52500</v>
      </c>
      <c r="I34" s="469">
        <f>'YÜKLENİCİ ARAÇLARI'!I166</f>
        <v>10500</v>
      </c>
      <c r="J34" s="469">
        <f>'YÜKLENİCİ ARAÇLARI'!J166</f>
        <v>63000</v>
      </c>
      <c r="K34" s="469">
        <f>'YÜKLENİCİ ARAÇLARI'!K166</f>
        <v>5250</v>
      </c>
      <c r="L34" s="469">
        <f>'YÜKLENİCİ ARAÇLARI'!L166</f>
        <v>57750</v>
      </c>
    </row>
    <row r="35" spans="1:12" ht="16.2" thickTop="1" thickBot="1" x14ac:dyDescent="0.3">
      <c r="F35" s="312"/>
      <c r="G35" s="274"/>
      <c r="H35" s="262">
        <f>SUM(H33:H34)</f>
        <v>62300</v>
      </c>
      <c r="I35" s="262">
        <f>SUM(I33:I34)</f>
        <v>12460</v>
      </c>
      <c r="J35" s="262">
        <f>SUM(J33:J34)</f>
        <v>74760</v>
      </c>
      <c r="K35" s="262">
        <f>SUM(K33:K34)</f>
        <v>6230</v>
      </c>
      <c r="L35" s="262">
        <f>SUM(L33:L34)</f>
        <v>68530</v>
      </c>
    </row>
    <row r="36" spans="1:12" ht="18.600000000000001" hidden="1" customHeight="1" thickTop="1" thickBot="1" x14ac:dyDescent="0.3">
      <c r="A36" s="541"/>
      <c r="B36" s="542"/>
      <c r="C36" s="542"/>
      <c r="D36" s="187"/>
      <c r="E36" s="313"/>
      <c r="F36" s="313"/>
      <c r="G36" s="279"/>
      <c r="H36" s="280"/>
      <c r="I36" s="280"/>
      <c r="J36" s="280"/>
      <c r="K36" s="280"/>
      <c r="L36" s="280"/>
    </row>
    <row r="37" spans="1:12" ht="18.600000000000001" hidden="1" customHeight="1" thickTop="1" thickBot="1" x14ac:dyDescent="0.3">
      <c r="A37" s="171"/>
      <c r="B37" s="171"/>
      <c r="C37" s="171"/>
      <c r="D37" s="171"/>
      <c r="E37" s="216"/>
      <c r="F37" s="216"/>
      <c r="G37" s="217"/>
      <c r="H37" s="217"/>
      <c r="I37" s="217"/>
      <c r="J37" s="217"/>
      <c r="K37" s="217"/>
      <c r="L37" s="217"/>
    </row>
    <row r="38" spans="1:12" ht="15.6" hidden="1" thickTop="1" x14ac:dyDescent="0.25">
      <c r="E38" s="314"/>
      <c r="H38" s="281">
        <f>SUM(H37)</f>
        <v>0</v>
      </c>
      <c r="I38" s="281">
        <f t="shared" ref="I38:L38" si="16">SUM(I37)</f>
        <v>0</v>
      </c>
      <c r="J38" s="281">
        <f t="shared" si="16"/>
        <v>0</v>
      </c>
      <c r="K38" s="281">
        <f t="shared" si="16"/>
        <v>0</v>
      </c>
      <c r="L38" s="281">
        <f t="shared" si="16"/>
        <v>0</v>
      </c>
    </row>
    <row r="39" spans="1:12" hidden="1" x14ac:dyDescent="0.25"/>
    <row r="40" spans="1:12" ht="18.600000000000001" thickTop="1" thickBot="1" x14ac:dyDescent="0.35">
      <c r="A40" s="529" t="s">
        <v>504</v>
      </c>
      <c r="B40" s="529"/>
      <c r="C40" s="529"/>
      <c r="D40" s="181"/>
    </row>
    <row r="41" spans="1:12" ht="15" hidden="1" thickTop="1" thickBot="1" x14ac:dyDescent="0.3">
      <c r="A41" s="171" t="e">
        <f>#REF!</f>
        <v>#REF!</v>
      </c>
      <c r="B41" s="171" t="e">
        <f>#REF!</f>
        <v>#REF!</v>
      </c>
      <c r="C41" s="171" t="e">
        <f>#REF!</f>
        <v>#REF!</v>
      </c>
      <c r="D41" s="171"/>
      <c r="E41" s="216" t="e">
        <f>#REF!</f>
        <v>#REF!</v>
      </c>
      <c r="F41" s="282" t="e">
        <f>#REF!</f>
        <v>#REF!</v>
      </c>
      <c r="G41" s="217" t="e">
        <f>#REF!</f>
        <v>#REF!</v>
      </c>
      <c r="H41" s="217" t="e">
        <f>#REF!</f>
        <v>#REF!</v>
      </c>
      <c r="I41" s="217" t="e">
        <f>#REF!</f>
        <v>#REF!</v>
      </c>
      <c r="J41" s="217" t="e">
        <f>#REF!</f>
        <v>#REF!</v>
      </c>
      <c r="K41" s="217" t="e">
        <f>#REF!</f>
        <v>#REF!</v>
      </c>
      <c r="L41" s="217" t="e">
        <f>#REF!</f>
        <v>#REF!</v>
      </c>
    </row>
    <row r="42" spans="1:12" ht="15" thickTop="1" thickBot="1" x14ac:dyDescent="0.3">
      <c r="A42" s="467" t="str">
        <f>'YÜKLENİCİ ARAÇLARI'!A275</f>
        <v>AQUAKRAFT</v>
      </c>
      <c r="B42" s="467" t="str">
        <f>'YÜKLENİCİ ARAÇLARI'!B275</f>
        <v>ADAPAZARI/MERKEZ /ERENLER</v>
      </c>
      <c r="C42" s="467" t="str">
        <f>'YÜKLENİCİ ARAÇLARI'!C275</f>
        <v>FUAT YÜCE</v>
      </c>
      <c r="D42" s="467">
        <f>'YÜKLENİCİ ARAÇLARI'!D275</f>
        <v>0</v>
      </c>
      <c r="E42" s="467" t="str">
        <f>'YÜKLENİCİ ARAÇLARI'!E275</f>
        <v>GRŞ/ÇIK</v>
      </c>
      <c r="F42" s="467">
        <f>'YÜKLENİCİ ARAÇLARI'!F275</f>
        <v>0</v>
      </c>
      <c r="G42" s="468">
        <f>'YÜKLENİCİ ARAÇLARI'!G275</f>
        <v>2000</v>
      </c>
      <c r="H42" s="468">
        <f>'YÜKLENİCİ ARAÇLARI'!H275</f>
        <v>0</v>
      </c>
      <c r="I42" s="468">
        <f>'YÜKLENİCİ ARAÇLARI'!I275</f>
        <v>0</v>
      </c>
      <c r="J42" s="468">
        <f>'YÜKLENİCİ ARAÇLARI'!J275</f>
        <v>0</v>
      </c>
      <c r="K42" s="468">
        <f>'YÜKLENİCİ ARAÇLARI'!K275</f>
        <v>0</v>
      </c>
      <c r="L42" s="468">
        <f>'YÜKLENİCİ ARAÇLARI'!L275</f>
        <v>0</v>
      </c>
    </row>
    <row r="43" spans="1:12" ht="15" thickTop="1" thickBot="1" x14ac:dyDescent="0.3">
      <c r="A43" s="467" t="str">
        <f>'YÜKLENİCİ ARAÇLARI'!A276</f>
        <v>AQUAKRAFT</v>
      </c>
      <c r="B43" s="467" t="str">
        <f>'YÜKLENİCİ ARAÇLARI'!B276</f>
        <v>ADAPAZARI/MERKEZ /ERENLER</v>
      </c>
      <c r="C43" s="467" t="str">
        <f>'YÜKLENİCİ ARAÇLARI'!C276</f>
        <v>FUAT YÜCE</v>
      </c>
      <c r="D43" s="467">
        <f>'YÜKLENİCİ ARAÇLARI'!D276</f>
        <v>0</v>
      </c>
      <c r="E43" s="467" t="str">
        <f>'YÜKLENİCİ ARAÇLARI'!E276</f>
        <v>TEK</v>
      </c>
      <c r="F43" s="467">
        <f>'YÜKLENİCİ ARAÇLARI'!F276</f>
        <v>52</v>
      </c>
      <c r="G43" s="468">
        <f>'YÜKLENİCİ ARAÇLARI'!G276</f>
        <v>1500</v>
      </c>
      <c r="H43" s="468">
        <f>'YÜKLENİCİ ARAÇLARI'!H276</f>
        <v>78000</v>
      </c>
      <c r="I43" s="468">
        <f>'YÜKLENİCİ ARAÇLARI'!I276</f>
        <v>15600</v>
      </c>
      <c r="J43" s="468">
        <f>'YÜKLENİCİ ARAÇLARI'!J276</f>
        <v>93600</v>
      </c>
      <c r="K43" s="468">
        <f>'YÜKLENİCİ ARAÇLARI'!K276</f>
        <v>7800</v>
      </c>
      <c r="L43" s="468">
        <f>'YÜKLENİCİ ARAÇLARI'!L276</f>
        <v>85800</v>
      </c>
    </row>
    <row r="44" spans="1:12" ht="15.6" thickTop="1" x14ac:dyDescent="0.25">
      <c r="G44" s="274"/>
      <c r="H44" s="283">
        <f>SUM(H42:H43)</f>
        <v>78000</v>
      </c>
      <c r="I44" s="283">
        <f t="shared" ref="I44:L44" si="17">SUM(I42:I43)</f>
        <v>15600</v>
      </c>
      <c r="J44" s="283">
        <f t="shared" si="17"/>
        <v>93600</v>
      </c>
      <c r="K44" s="283">
        <f t="shared" si="17"/>
        <v>7800</v>
      </c>
      <c r="L44" s="283">
        <f t="shared" si="17"/>
        <v>85800</v>
      </c>
    </row>
    <row r="45" spans="1:12" ht="15" x14ac:dyDescent="0.25">
      <c r="G45" s="274"/>
      <c r="H45" s="275"/>
      <c r="I45" s="275"/>
      <c r="J45" s="275"/>
      <c r="K45" s="275"/>
      <c r="L45" s="275"/>
    </row>
    <row r="46" spans="1:12" ht="18" thickBot="1" x14ac:dyDescent="0.35">
      <c r="A46" s="531" t="s">
        <v>449</v>
      </c>
      <c r="B46" s="531"/>
      <c r="C46" s="531"/>
      <c r="D46" s="188"/>
    </row>
    <row r="47" spans="1:12" ht="15" thickTop="1" thickBot="1" x14ac:dyDescent="0.3">
      <c r="A47" s="467" t="str">
        <f>'YÜKLENİCİ ARAÇLARI'!A248</f>
        <v>BURDA BEBEK</v>
      </c>
      <c r="B47" s="467" t="str">
        <f>'YÜKLENİCİ ARAÇLARI'!B248</f>
        <v>ADAPAZARI GÜNEŞLER  O.GRJ</v>
      </c>
      <c r="C47" s="467" t="str">
        <f>'YÜKLENİCİ ARAÇLARI'!C248</f>
        <v>EROL ÖZTÜFEKÇİ</v>
      </c>
      <c r="D47" s="171">
        <f>'YÜKLENİCİ ARAÇLARI'!D248</f>
        <v>0</v>
      </c>
      <c r="E47" s="467" t="str">
        <f>'YÜKLENİCİ ARAÇLARI'!E248</f>
        <v>GRŞ/ÇK/TEK</v>
      </c>
      <c r="F47" s="467">
        <f>'YÜKLENİCİ ARAÇLARI'!F248</f>
        <v>30</v>
      </c>
      <c r="G47" s="468">
        <f>'YÜKLENİCİ ARAÇLARI'!G248</f>
        <v>1400</v>
      </c>
      <c r="H47" s="469">
        <f>'YÜKLENİCİ ARAÇLARI'!H248</f>
        <v>42000</v>
      </c>
      <c r="I47" s="469">
        <f>'YÜKLENİCİ ARAÇLARI'!I248</f>
        <v>8400</v>
      </c>
      <c r="J47" s="469">
        <f>'YÜKLENİCİ ARAÇLARI'!J248</f>
        <v>50400</v>
      </c>
      <c r="K47" s="469">
        <f>'YÜKLENİCİ ARAÇLARI'!K248</f>
        <v>4200</v>
      </c>
      <c r="L47" s="469">
        <f>'YÜKLENİCİ ARAÇLARI'!L248</f>
        <v>46200</v>
      </c>
    </row>
    <row r="48" spans="1:12" ht="16.2" thickTop="1" thickBot="1" x14ac:dyDescent="0.3">
      <c r="G48" s="274"/>
      <c r="H48" s="262">
        <f>SUM(H47)</f>
        <v>42000</v>
      </c>
      <c r="I48" s="262">
        <f>SUM(I47)</f>
        <v>8400</v>
      </c>
      <c r="J48" s="262">
        <f t="shared" ref="J48:L48" si="18">SUM(J47)</f>
        <v>50400</v>
      </c>
      <c r="K48" s="262">
        <f t="shared" si="18"/>
        <v>4200</v>
      </c>
      <c r="L48" s="262">
        <f t="shared" si="18"/>
        <v>46200</v>
      </c>
    </row>
    <row r="49" spans="1:12" ht="18.600000000000001" thickTop="1" thickBot="1" x14ac:dyDescent="0.35">
      <c r="A49" s="530" t="s">
        <v>493</v>
      </c>
      <c r="B49" s="530"/>
      <c r="C49" s="530"/>
      <c r="D49" s="188"/>
    </row>
    <row r="50" spans="1:12" ht="15" thickTop="1" thickBot="1" x14ac:dyDescent="0.3">
      <c r="A50" s="467" t="str">
        <f>'YÜKLENİCİ ARAÇLARI'!A288</f>
        <v>ISILSAN</v>
      </c>
      <c r="B50" s="467" t="str">
        <f>'YÜKLENİCİ ARAÇLARI'!B288</f>
        <v>HENDEK MRK/YENİMAHALLE</v>
      </c>
      <c r="C50" s="467" t="str">
        <f>'YÜKLENİCİ ARAÇLARI'!C288</f>
        <v>RIDVAN BARIŞ İSLAM</v>
      </c>
      <c r="D50" s="467" t="str">
        <f>'YÜKLENİCİ ARAÇLARI'!D288</f>
        <v>54 S 0745</v>
      </c>
      <c r="E50" s="467" t="str">
        <f>'YÜKLENİCİ ARAÇLARI'!E288</f>
        <v>GRŞ/ÇIK</v>
      </c>
      <c r="F50" s="467">
        <f>'YÜKLENİCİ ARAÇLARI'!F288</f>
        <v>21</v>
      </c>
      <c r="G50" s="468">
        <f>'YÜKLENİCİ ARAÇLARI'!G288</f>
        <v>1800</v>
      </c>
      <c r="H50" s="468">
        <f>'YÜKLENİCİ ARAÇLARI'!H288</f>
        <v>37800</v>
      </c>
      <c r="I50" s="468">
        <f>'YÜKLENİCİ ARAÇLARI'!I288</f>
        <v>7560</v>
      </c>
      <c r="J50" s="468">
        <f>'YÜKLENİCİ ARAÇLARI'!J288</f>
        <v>45360</v>
      </c>
      <c r="K50" s="468">
        <f>'YÜKLENİCİ ARAÇLARI'!K288</f>
        <v>3780</v>
      </c>
      <c r="L50" s="468">
        <f>'YÜKLENİCİ ARAÇLARI'!L288</f>
        <v>41580</v>
      </c>
    </row>
    <row r="51" spans="1:12" ht="15" hidden="1" thickTop="1" thickBot="1" x14ac:dyDescent="0.3">
      <c r="A51" s="171" t="e">
        <f>#REF!</f>
        <v>#REF!</v>
      </c>
      <c r="B51" s="171" t="e">
        <f>#REF!</f>
        <v>#REF!</v>
      </c>
      <c r="C51" s="171" t="e">
        <f>#REF!</f>
        <v>#REF!</v>
      </c>
      <c r="D51" s="171"/>
      <c r="E51" s="216" t="e">
        <f>#REF!</f>
        <v>#REF!</v>
      </c>
      <c r="F51" s="216" t="e">
        <f>#REF!</f>
        <v>#REF!</v>
      </c>
      <c r="G51" s="217" t="e">
        <f>#REF!</f>
        <v>#REF!</v>
      </c>
      <c r="H51" s="264" t="e">
        <f>#REF!</f>
        <v>#REF!</v>
      </c>
      <c r="I51" s="264" t="e">
        <f>#REF!</f>
        <v>#REF!</v>
      </c>
      <c r="J51" s="264" t="e">
        <f>#REF!</f>
        <v>#REF!</v>
      </c>
      <c r="K51" s="264" t="e">
        <f>#REF!</f>
        <v>#REF!</v>
      </c>
      <c r="L51" s="264" t="e">
        <f>#REF!</f>
        <v>#REF!</v>
      </c>
    </row>
    <row r="52" spans="1:12" ht="16.2" thickTop="1" thickBot="1" x14ac:dyDescent="0.3">
      <c r="H52" s="263">
        <f>SUM(H50)</f>
        <v>37800</v>
      </c>
      <c r="I52" s="263">
        <f t="shared" ref="I52:L52" si="19">SUM(I50)</f>
        <v>7560</v>
      </c>
      <c r="J52" s="263">
        <f t="shared" si="19"/>
        <v>45360</v>
      </c>
      <c r="K52" s="263">
        <f t="shared" si="19"/>
        <v>3780</v>
      </c>
      <c r="L52" s="263">
        <f t="shared" si="19"/>
        <v>41580</v>
      </c>
    </row>
    <row r="53" spans="1:12" ht="18.600000000000001" thickTop="1" thickBot="1" x14ac:dyDescent="0.35">
      <c r="A53" s="538" t="s">
        <v>136</v>
      </c>
      <c r="B53" s="538"/>
      <c r="C53" s="538"/>
      <c r="D53" s="181"/>
    </row>
    <row r="54" spans="1:12" ht="16.2" customHeight="1" thickTop="1" thickBot="1" x14ac:dyDescent="0.3">
      <c r="A54" s="467" t="str">
        <f>'YÜKLENİCİ ARAÇLARI'!A93</f>
        <v>ALYAN GIDA</v>
      </c>
      <c r="B54" s="467" t="str">
        <f>'YÜKLENİCİ ARAÇLARI'!B93</f>
        <v>HENDEK MERKEZ ÇARŞI</v>
      </c>
      <c r="C54" s="467" t="str">
        <f>'YÜKLENİCİ ARAÇLARI'!C93</f>
        <v>BAYRAM YILMAZ</v>
      </c>
      <c r="D54" s="467" t="str">
        <f>'YÜKLENİCİ ARAÇLARI'!D93</f>
        <v>54 S 1592</v>
      </c>
      <c r="E54" s="467" t="str">
        <f>'YÜKLENİCİ ARAÇLARI'!E93</f>
        <v>ÇİFT</v>
      </c>
      <c r="F54" s="467">
        <f>'YÜKLENİCİ ARAÇLARI'!F93</f>
        <v>46</v>
      </c>
      <c r="G54" s="468">
        <f>'YÜKLENİCİ ARAÇLARI'!G93</f>
        <v>1100</v>
      </c>
      <c r="H54" s="468">
        <f>'YÜKLENİCİ ARAÇLARI'!H93</f>
        <v>50600</v>
      </c>
      <c r="I54" s="468">
        <f>'YÜKLENİCİ ARAÇLARI'!I93</f>
        <v>10120</v>
      </c>
      <c r="J54" s="468">
        <f>'YÜKLENİCİ ARAÇLARI'!J93</f>
        <v>60720</v>
      </c>
      <c r="K54" s="468">
        <f>'YÜKLENİCİ ARAÇLARI'!K93</f>
        <v>5060</v>
      </c>
      <c r="L54" s="468">
        <f>'YÜKLENİCİ ARAÇLARI'!L93</f>
        <v>55660</v>
      </c>
    </row>
    <row r="55" spans="1:12" s="189" customFormat="1" ht="16.2" customHeight="1" thickTop="1" thickBot="1" x14ac:dyDescent="0.3">
      <c r="A55" s="467" t="str">
        <f>'YÜKLENİCİ ARAÇLARI'!A94</f>
        <v>ALYAN GIDA</v>
      </c>
      <c r="B55" s="467" t="str">
        <f>'YÜKLENİCİ ARAÇLARI'!B94</f>
        <v>HENDEK MERKEZ ÇARŞI</v>
      </c>
      <c r="C55" s="467" t="str">
        <f>'YÜKLENİCİ ARAÇLARI'!C94</f>
        <v>BAYRAM YILMAZ</v>
      </c>
      <c r="D55" s="467" t="str">
        <f>'YÜKLENİCİ ARAÇLARI'!D94</f>
        <v>54 S 1592</v>
      </c>
      <c r="E55" s="467" t="str">
        <f>'YÜKLENİCİ ARAÇLARI'!E94</f>
        <v>TEK</v>
      </c>
      <c r="F55" s="467">
        <f>'YÜKLENİCİ ARAÇLARI'!F94</f>
        <v>27</v>
      </c>
      <c r="G55" s="468">
        <f>'YÜKLENİCİ ARAÇLARI'!G94</f>
        <v>900</v>
      </c>
      <c r="H55" s="468">
        <f>'YÜKLENİCİ ARAÇLARI'!H94</f>
        <v>24300</v>
      </c>
      <c r="I55" s="468">
        <f>'YÜKLENİCİ ARAÇLARI'!I94</f>
        <v>4860</v>
      </c>
      <c r="J55" s="468">
        <f>'YÜKLENİCİ ARAÇLARI'!J94</f>
        <v>29160</v>
      </c>
      <c r="K55" s="468">
        <f>'YÜKLENİCİ ARAÇLARI'!K94</f>
        <v>2430</v>
      </c>
      <c r="L55" s="468">
        <f>'YÜKLENİCİ ARAÇLARI'!L94</f>
        <v>26730</v>
      </c>
    </row>
    <row r="56" spans="1:12" ht="16.2" customHeight="1" thickTop="1" thickBot="1" x14ac:dyDescent="0.3">
      <c r="A56" s="467" t="str">
        <f>'YÜKLENİCİ ARAÇLARI'!A226</f>
        <v>BURDA BEBEK</v>
      </c>
      <c r="B56" s="467" t="str">
        <f>'YÜKLENİCİ ARAÇLARI'!B226</f>
        <v>BAYRAKTEPE/R.PAŞA</v>
      </c>
      <c r="C56" s="467" t="str">
        <f>'YÜKLENİCİ ARAÇLARI'!C226</f>
        <v>BAYRAM YILMAZ</v>
      </c>
      <c r="D56" s="171" t="str">
        <f>'YÜKLENİCİ ARAÇLARI'!D226</f>
        <v>54 S 0657</v>
      </c>
      <c r="E56" s="467" t="str">
        <f>'YÜKLENİCİ ARAÇLARI'!E226</f>
        <v>VRD</v>
      </c>
      <c r="F56" s="467">
        <f>'YÜKLENİCİ ARAÇLARI'!F226</f>
        <v>150</v>
      </c>
      <c r="G56" s="468">
        <f>'YÜKLENİCİ ARAÇLARI'!G226</f>
        <v>550</v>
      </c>
      <c r="H56" s="468">
        <f>'YÜKLENİCİ ARAÇLARI'!H226</f>
        <v>82500</v>
      </c>
      <c r="I56" s="468">
        <f>'YÜKLENİCİ ARAÇLARI'!I226</f>
        <v>16500</v>
      </c>
      <c r="J56" s="468">
        <f>'YÜKLENİCİ ARAÇLARI'!J226</f>
        <v>99000</v>
      </c>
      <c r="K56" s="468">
        <f>'YÜKLENİCİ ARAÇLARI'!K226</f>
        <v>8250</v>
      </c>
      <c r="L56" s="468">
        <f>'YÜKLENİCİ ARAÇLARI'!L226</f>
        <v>90750</v>
      </c>
    </row>
    <row r="57" spans="1:12" ht="16.2" customHeight="1" thickTop="1" thickBot="1" x14ac:dyDescent="0.3">
      <c r="A57" s="467" t="str">
        <f>'YÜKLENİCİ ARAÇLARI'!A227</f>
        <v>BURDA BEBEK</v>
      </c>
      <c r="B57" s="467" t="str">
        <f>'YÜKLENİCİ ARAÇLARI'!B227</f>
        <v>BAYRAKTEPE/R.PAŞA</v>
      </c>
      <c r="C57" s="467" t="str">
        <f>'YÜKLENİCİ ARAÇLARI'!C227</f>
        <v>BAYRAM YILMAZ</v>
      </c>
      <c r="D57" s="171" t="str">
        <f>'YÜKLENİCİ ARAÇLARI'!D227</f>
        <v>54 S 0657</v>
      </c>
      <c r="E57" s="467" t="str">
        <f>'YÜKLENİCİ ARAÇLARI'!E227</f>
        <v>CUMA</v>
      </c>
      <c r="F57" s="467">
        <f>'YÜKLENİCİ ARAÇLARI'!F227</f>
        <v>3</v>
      </c>
      <c r="G57" s="468">
        <f>'YÜKLENİCİ ARAÇLARI'!G227</f>
        <v>900</v>
      </c>
      <c r="H57" s="468">
        <f>'YÜKLENİCİ ARAÇLARI'!H227</f>
        <v>2700</v>
      </c>
      <c r="I57" s="468">
        <f>'YÜKLENİCİ ARAÇLARI'!I227</f>
        <v>540</v>
      </c>
      <c r="J57" s="468">
        <f>'YÜKLENİCİ ARAÇLARI'!J227</f>
        <v>3240</v>
      </c>
      <c r="K57" s="468">
        <f>'YÜKLENİCİ ARAÇLARI'!K227</f>
        <v>270</v>
      </c>
      <c r="L57" s="468">
        <f>'YÜKLENİCİ ARAÇLARI'!L227</f>
        <v>2970</v>
      </c>
    </row>
    <row r="58" spans="1:12" ht="16.2" customHeight="1" thickTop="1" thickBot="1" x14ac:dyDescent="0.3">
      <c r="A58" s="467" t="str">
        <f>'YÜKLENİCİ ARAÇLARI'!A228</f>
        <v>BURDA BEBEK</v>
      </c>
      <c r="B58" s="467" t="str">
        <f>'YÜKLENİCİ ARAÇLARI'!B228</f>
        <v>BAYRAKTEPE/R.PAŞA</v>
      </c>
      <c r="C58" s="467" t="str">
        <f>'YÜKLENİCİ ARAÇLARI'!C228</f>
        <v>BAYRAM YILMAZ</v>
      </c>
      <c r="D58" s="171" t="str">
        <f>'YÜKLENİCİ ARAÇLARI'!D228</f>
        <v>54 S 0657</v>
      </c>
      <c r="E58" s="467" t="str">
        <f>'YÜKLENİCİ ARAÇLARI'!E228</f>
        <v>TEK</v>
      </c>
      <c r="F58" s="467">
        <f>'YÜKLENİCİ ARAÇLARI'!F228</f>
        <v>0</v>
      </c>
      <c r="G58" s="468">
        <f>'YÜKLENİCİ ARAÇLARI'!G228</f>
        <v>900</v>
      </c>
      <c r="H58" s="468">
        <f>'YÜKLENİCİ ARAÇLARI'!H228</f>
        <v>0</v>
      </c>
      <c r="I58" s="468">
        <f>'YÜKLENİCİ ARAÇLARI'!I228</f>
        <v>0</v>
      </c>
      <c r="J58" s="468">
        <f>'YÜKLENİCİ ARAÇLARI'!J228</f>
        <v>0</v>
      </c>
      <c r="K58" s="468">
        <f>'YÜKLENİCİ ARAÇLARI'!K228</f>
        <v>0</v>
      </c>
      <c r="L58" s="468">
        <f>'YÜKLENİCİ ARAÇLARI'!L228</f>
        <v>0</v>
      </c>
    </row>
    <row r="59" spans="1:12" ht="16.2" customHeight="1" thickTop="1" thickBot="1" x14ac:dyDescent="0.3">
      <c r="A59" s="467" t="str">
        <f>'YÜKLENİCİ ARAÇLARI'!A229</f>
        <v>BURDA BEBEK</v>
      </c>
      <c r="B59" s="467" t="str">
        <f>'YÜKLENİCİ ARAÇLARI'!B229</f>
        <v>BAYRAKTEPE/R.PAŞA</v>
      </c>
      <c r="C59" s="467" t="str">
        <f>'YÜKLENİCİ ARAÇLARI'!C229</f>
        <v>BAYRAM YILMAZ</v>
      </c>
      <c r="D59" s="171" t="str">
        <f>'YÜKLENİCİ ARAÇLARI'!D229</f>
        <v>54 S 0657</v>
      </c>
      <c r="E59" s="467" t="str">
        <f>'YÜKLENİCİ ARAÇLARI'!E229</f>
        <v>MESAİ</v>
      </c>
      <c r="F59" s="467">
        <f>'YÜKLENİCİ ARAÇLARI'!F229</f>
        <v>0</v>
      </c>
      <c r="G59" s="468">
        <f>'YÜKLENİCİ ARAÇLARI'!G229</f>
        <v>1160</v>
      </c>
      <c r="H59" s="468">
        <f>'YÜKLENİCİ ARAÇLARI'!H229</f>
        <v>0</v>
      </c>
      <c r="I59" s="468">
        <f>'YÜKLENİCİ ARAÇLARI'!I229</f>
        <v>0</v>
      </c>
      <c r="J59" s="468">
        <f>'YÜKLENİCİ ARAÇLARI'!J229</f>
        <v>0</v>
      </c>
      <c r="K59" s="468">
        <f>'YÜKLENİCİ ARAÇLARI'!K229</f>
        <v>0</v>
      </c>
      <c r="L59" s="468">
        <f>'YÜKLENİCİ ARAÇLARI'!L229</f>
        <v>0</v>
      </c>
    </row>
    <row r="60" spans="1:12" ht="16.2" customHeight="1" thickTop="1" thickBot="1" x14ac:dyDescent="0.3">
      <c r="A60" s="467" t="str">
        <f>'YÜKLENİCİ ARAÇLARI'!A230</f>
        <v>BURDA BEBEK</v>
      </c>
      <c r="B60" s="467" t="str">
        <f>'YÜKLENİCİ ARAÇLARI'!B230</f>
        <v>ÇARŞI YANYOL</v>
      </c>
      <c r="C60" s="467" t="str">
        <f>'YÜKLENİCİ ARAÇLARI'!C230</f>
        <v>BAYRAM YILMAZ</v>
      </c>
      <c r="D60" s="171" t="str">
        <f>'YÜKLENİCİ ARAÇLARI'!D230</f>
        <v>54 S 2874</v>
      </c>
      <c r="E60" s="467" t="str">
        <f>'YÜKLENİCİ ARAÇLARI'!E230</f>
        <v>VRD</v>
      </c>
      <c r="F60" s="467">
        <f>'YÜKLENİCİ ARAÇLARI'!F230</f>
        <v>109</v>
      </c>
      <c r="G60" s="468">
        <f>'YÜKLENİCİ ARAÇLARI'!G230</f>
        <v>550</v>
      </c>
      <c r="H60" s="468">
        <f>'YÜKLENİCİ ARAÇLARI'!H230</f>
        <v>59950</v>
      </c>
      <c r="I60" s="468">
        <f>'YÜKLENİCİ ARAÇLARI'!I230</f>
        <v>11990</v>
      </c>
      <c r="J60" s="468">
        <f>'YÜKLENİCİ ARAÇLARI'!J230</f>
        <v>71940</v>
      </c>
      <c r="K60" s="468">
        <f>'YÜKLENİCİ ARAÇLARI'!K230</f>
        <v>5995</v>
      </c>
      <c r="L60" s="468">
        <f>'YÜKLENİCİ ARAÇLARI'!L230</f>
        <v>65945</v>
      </c>
    </row>
    <row r="61" spans="1:12" ht="16.2" customHeight="1" thickTop="1" thickBot="1" x14ac:dyDescent="0.3">
      <c r="A61" s="467" t="str">
        <f>'YÜKLENİCİ ARAÇLARI'!A231</f>
        <v>BURDA BEBEK</v>
      </c>
      <c r="B61" s="467" t="str">
        <f>'YÜKLENİCİ ARAÇLARI'!B231</f>
        <v>ÇARŞI YANYOL</v>
      </c>
      <c r="C61" s="467" t="str">
        <f>'YÜKLENİCİ ARAÇLARI'!C231</f>
        <v>BAYRAM YILMAZ</v>
      </c>
      <c r="D61" s="171" t="str">
        <f>'YÜKLENİCİ ARAÇLARI'!D231</f>
        <v>54 S 2874</v>
      </c>
      <c r="E61" s="467" t="str">
        <f>'YÜKLENİCİ ARAÇLARI'!E231</f>
        <v>GRŞ/ÇK/TEK</v>
      </c>
      <c r="F61" s="467">
        <f>'YÜKLENİCİ ARAÇLARI'!F231</f>
        <v>6</v>
      </c>
      <c r="G61" s="468">
        <f>'YÜKLENİCİ ARAÇLARI'!G231</f>
        <v>900</v>
      </c>
      <c r="H61" s="468">
        <f>'YÜKLENİCİ ARAÇLARI'!H231</f>
        <v>5400</v>
      </c>
      <c r="I61" s="468">
        <f>'YÜKLENİCİ ARAÇLARI'!I231</f>
        <v>1080</v>
      </c>
      <c r="J61" s="468">
        <f>'YÜKLENİCİ ARAÇLARI'!J231</f>
        <v>6480</v>
      </c>
      <c r="K61" s="468">
        <f>'YÜKLENİCİ ARAÇLARI'!K231</f>
        <v>540</v>
      </c>
      <c r="L61" s="468">
        <f>'YÜKLENİCİ ARAÇLARI'!L231</f>
        <v>5940</v>
      </c>
    </row>
    <row r="62" spans="1:12" ht="16.2" customHeight="1" thickTop="1" thickBot="1" x14ac:dyDescent="0.3">
      <c r="A62" s="467" t="str">
        <f>'YÜKLENİCİ ARAÇLARI'!A232</f>
        <v>BURDA BEBEK</v>
      </c>
      <c r="B62" s="467" t="str">
        <f>'YÜKLENİCİ ARAÇLARI'!B232</f>
        <v>ÇARŞI YANYOL</v>
      </c>
      <c r="C62" s="467" t="str">
        <f>'YÜKLENİCİ ARAÇLARI'!C232</f>
        <v>BAYRAM YILMAZ</v>
      </c>
      <c r="D62" s="171" t="str">
        <f>'YÜKLENİCİ ARAÇLARI'!D232</f>
        <v>54 S 2874</v>
      </c>
      <c r="E62" s="467" t="str">
        <f>'YÜKLENİCİ ARAÇLARI'!E232</f>
        <v>MESAİ</v>
      </c>
      <c r="F62" s="467">
        <f>'YÜKLENİCİ ARAÇLARI'!F232</f>
        <v>1</v>
      </c>
      <c r="G62" s="468">
        <f>'YÜKLENİCİ ARAÇLARI'!G232</f>
        <v>1160</v>
      </c>
      <c r="H62" s="468">
        <f>'YÜKLENİCİ ARAÇLARI'!H232</f>
        <v>1160</v>
      </c>
      <c r="I62" s="468">
        <f>'YÜKLENİCİ ARAÇLARI'!I232</f>
        <v>232</v>
      </c>
      <c r="J62" s="468">
        <f>'YÜKLENİCİ ARAÇLARI'!J232</f>
        <v>1392</v>
      </c>
      <c r="K62" s="468">
        <f>'YÜKLENİCİ ARAÇLARI'!K232</f>
        <v>116</v>
      </c>
      <c r="L62" s="468">
        <f>'YÜKLENİCİ ARAÇLARI'!L232</f>
        <v>1276</v>
      </c>
    </row>
    <row r="63" spans="1:12" ht="16.2" customHeight="1" thickTop="1" thickBot="1" x14ac:dyDescent="0.3">
      <c r="A63" s="467" t="str">
        <f>'YÜKLENİCİ ARAÇLARI'!A216</f>
        <v>TAVSAN</v>
      </c>
      <c r="B63" s="467" t="str">
        <f>'YÜKLENİCİ ARAÇLARI'!B216</f>
        <v>HENDEK 1</v>
      </c>
      <c r="C63" s="467" t="str">
        <f>'YÜKLENİCİ ARAÇLARI'!C216</f>
        <v>BAYRAM YILMAZ</v>
      </c>
      <c r="D63" s="171" t="str">
        <f>'YÜKLENİCİ ARAÇLARI'!D216</f>
        <v>AKŞAM</v>
      </c>
      <c r="E63" s="467" t="str">
        <f>'YÜKLENİCİ ARAÇLARI'!E216</f>
        <v>TEK</v>
      </c>
      <c r="F63" s="467">
        <f>'YÜKLENİCİ ARAÇLARI'!F216</f>
        <v>18</v>
      </c>
      <c r="G63" s="468">
        <f>'YÜKLENİCİ ARAÇLARI'!G216</f>
        <v>900</v>
      </c>
      <c r="H63" s="469">
        <f>'YÜKLENİCİ ARAÇLARI'!H216</f>
        <v>16200</v>
      </c>
      <c r="I63" s="469">
        <f>'YÜKLENİCİ ARAÇLARI'!I216</f>
        <v>3240</v>
      </c>
      <c r="J63" s="469">
        <f>'YÜKLENİCİ ARAÇLARI'!J216</f>
        <v>19440</v>
      </c>
      <c r="K63" s="469">
        <f>'YÜKLENİCİ ARAÇLARI'!K216</f>
        <v>1620</v>
      </c>
      <c r="L63" s="469">
        <f>'YÜKLENİCİ ARAÇLARI'!L216</f>
        <v>17820</v>
      </c>
    </row>
    <row r="64" spans="1:12" ht="15" thickTop="1" thickBot="1" x14ac:dyDescent="0.3">
      <c r="F64" s="309"/>
      <c r="G64" s="277"/>
      <c r="H64" s="265">
        <f>SUM(H54:H63)</f>
        <v>242810</v>
      </c>
      <c r="I64" s="265">
        <f>SUM(I54:I63)</f>
        <v>48562</v>
      </c>
      <c r="J64" s="265">
        <f>SUM(J54:J63)</f>
        <v>291372</v>
      </c>
      <c r="K64" s="265">
        <f>SUM(K54:K63)</f>
        <v>24281</v>
      </c>
      <c r="L64" s="265">
        <f>SUM(L54:L63)</f>
        <v>267091</v>
      </c>
    </row>
    <row r="65" spans="1:13" ht="16.2" thickTop="1" thickBot="1" x14ac:dyDescent="0.3">
      <c r="A65" s="532" t="s">
        <v>136</v>
      </c>
      <c r="B65" s="533"/>
      <c r="C65" s="533"/>
      <c r="D65" s="197"/>
      <c r="E65" s="315"/>
      <c r="F65" s="285"/>
      <c r="G65" s="286"/>
      <c r="H65" s="287"/>
      <c r="I65" s="287"/>
      <c r="J65" s="287"/>
      <c r="K65" s="287"/>
      <c r="L65" s="287"/>
    </row>
    <row r="66" spans="1:13" ht="18.600000000000001" customHeight="1" thickTop="1" thickBot="1" x14ac:dyDescent="0.3">
      <c r="A66" s="487" t="str">
        <f>'YÜKLENİCİ ARAÇLARI'!A159</f>
        <v>GEDİK KAYNAK</v>
      </c>
      <c r="B66" s="487" t="str">
        <f>'YÜKLENİCİ ARAÇLARI'!B159</f>
        <v>HENDEK 3/BAYRAKTEPE</v>
      </c>
      <c r="C66" s="487" t="str">
        <f>'YÜKLENİCİ ARAÇLARI'!C159</f>
        <v>BAYRAM YILMAZ</v>
      </c>
      <c r="D66" s="487">
        <f>'YÜKLENİCİ ARAÇLARI'!D159</f>
        <v>0</v>
      </c>
      <c r="E66" s="487" t="str">
        <f>'YÜKLENİCİ ARAÇLARI'!E159</f>
        <v>VRD</v>
      </c>
      <c r="F66" s="487">
        <f>'YÜKLENİCİ ARAÇLARI'!F159</f>
        <v>42</v>
      </c>
      <c r="G66" s="488">
        <f>'YÜKLENİCİ ARAÇLARI'!G159</f>
        <v>550</v>
      </c>
      <c r="H66" s="488">
        <f>'YÜKLENİCİ ARAÇLARI'!H159</f>
        <v>23100</v>
      </c>
      <c r="I66" s="488">
        <f>'YÜKLENİCİ ARAÇLARI'!I159</f>
        <v>4620</v>
      </c>
      <c r="J66" s="488">
        <f>'YÜKLENİCİ ARAÇLARI'!J159</f>
        <v>27720</v>
      </c>
      <c r="K66" s="488">
        <f>'YÜKLENİCİ ARAÇLARI'!K159</f>
        <v>2310</v>
      </c>
      <c r="L66" s="488">
        <f>'YÜKLENİCİ ARAÇLARI'!L159</f>
        <v>25410</v>
      </c>
    </row>
    <row r="67" spans="1:13" ht="18.600000000000001" customHeight="1" thickTop="1" thickBot="1" x14ac:dyDescent="0.3">
      <c r="A67" s="487" t="str">
        <f>'YÜKLENİCİ ARAÇLARI'!A160</f>
        <v>GEDİK KAYNAK</v>
      </c>
      <c r="B67" s="487" t="str">
        <f>'YÜKLENİCİ ARAÇLARI'!B160</f>
        <v>HENDEK 3/BAYRAKTEPE</v>
      </c>
      <c r="C67" s="487" t="str">
        <f>'YÜKLENİCİ ARAÇLARI'!C160</f>
        <v>BAYRAM YILMAZ</v>
      </c>
      <c r="D67" s="487">
        <f>'YÜKLENİCİ ARAÇLARI'!D160</f>
        <v>0</v>
      </c>
      <c r="E67" s="487" t="str">
        <f>'YÜKLENİCİ ARAÇLARI'!E160</f>
        <v>TEK YÖN G/Ç</v>
      </c>
      <c r="F67" s="487">
        <f>'YÜKLENİCİ ARAÇLARI'!F160</f>
        <v>42</v>
      </c>
      <c r="G67" s="488">
        <f>'YÜKLENİCİ ARAÇLARI'!G160</f>
        <v>900</v>
      </c>
      <c r="H67" s="489">
        <f>'YÜKLENİCİ ARAÇLARI'!H160</f>
        <v>37800</v>
      </c>
      <c r="I67" s="489">
        <f>'YÜKLENİCİ ARAÇLARI'!I160</f>
        <v>7560</v>
      </c>
      <c r="J67" s="489">
        <f>'YÜKLENİCİ ARAÇLARI'!J160</f>
        <v>45360</v>
      </c>
      <c r="K67" s="489">
        <f>'YÜKLENİCİ ARAÇLARI'!K160</f>
        <v>3780</v>
      </c>
      <c r="L67" s="489">
        <f>'YÜKLENİCİ ARAÇLARI'!L160</f>
        <v>41580</v>
      </c>
    </row>
    <row r="68" spans="1:13" ht="16.2" thickTop="1" thickBot="1" x14ac:dyDescent="0.3">
      <c r="E68" s="314"/>
      <c r="H68" s="263">
        <f>SUM(H66:H67)</f>
        <v>60900</v>
      </c>
      <c r="I68" s="263">
        <f t="shared" ref="I68:L68" si="20">SUM(I66:I67)</f>
        <v>12180</v>
      </c>
      <c r="J68" s="263">
        <f t="shared" si="20"/>
        <v>73080</v>
      </c>
      <c r="K68" s="263">
        <f t="shared" si="20"/>
        <v>6090</v>
      </c>
      <c r="L68" s="263">
        <f t="shared" si="20"/>
        <v>66990</v>
      </c>
    </row>
    <row r="69" spans="1:13" ht="17.399999999999999" customHeight="1" thickTop="1" thickBot="1" x14ac:dyDescent="0.35">
      <c r="A69" s="529" t="s">
        <v>138</v>
      </c>
      <c r="B69" s="529"/>
      <c r="C69" s="529"/>
      <c r="D69" s="181"/>
    </row>
    <row r="70" spans="1:13" ht="15" thickTop="1" thickBot="1" x14ac:dyDescent="0.3">
      <c r="A70" s="467" t="str">
        <f>'YÜKLENİCİ ARAÇLARI'!A233</f>
        <v>BURDA BEBEK</v>
      </c>
      <c r="B70" s="467" t="str">
        <f>'YÜKLENİCİ ARAÇLARI'!B233</f>
        <v>HENDEK RASİMPAŞA</v>
      </c>
      <c r="C70" s="467" t="str">
        <f>'YÜKLENİCİ ARAÇLARI'!C233</f>
        <v>BARIŞ YILMAZ</v>
      </c>
      <c r="D70" s="467" t="str">
        <f>'YÜKLENİCİ ARAÇLARI'!D233</f>
        <v>54 S 1284</v>
      </c>
      <c r="E70" s="467" t="str">
        <f>'YÜKLENİCİ ARAÇLARI'!E233</f>
        <v>GRŞ/ÇK/TEK</v>
      </c>
      <c r="F70" s="467">
        <f>'YÜKLENİCİ ARAÇLARI'!F233</f>
        <v>20</v>
      </c>
      <c r="G70" s="468">
        <f>'YÜKLENİCİ ARAÇLARI'!G233</f>
        <v>900</v>
      </c>
      <c r="H70" s="468">
        <f>'YÜKLENİCİ ARAÇLARI'!H233</f>
        <v>18000</v>
      </c>
      <c r="I70" s="468">
        <f>'YÜKLENİCİ ARAÇLARI'!I233</f>
        <v>3600</v>
      </c>
      <c r="J70" s="468">
        <f>'YÜKLENİCİ ARAÇLARI'!J233</f>
        <v>21600</v>
      </c>
      <c r="K70" s="468">
        <f>'YÜKLENİCİ ARAÇLARI'!K233</f>
        <v>1800</v>
      </c>
      <c r="L70" s="468">
        <f>'YÜKLENİCİ ARAÇLARI'!L233</f>
        <v>19800</v>
      </c>
    </row>
    <row r="71" spans="1:13" ht="15" hidden="1" thickTop="1" thickBot="1" x14ac:dyDescent="0.3">
      <c r="A71" s="171" t="str">
        <f>'YÜKLENİCİ ARAÇLARI'!A234</f>
        <v>BURDA BEBEK</v>
      </c>
      <c r="B71" s="171" t="str">
        <f>'YÜKLENİCİ ARAÇLARI'!B234</f>
        <v>HENDEK RASİMPAŞA</v>
      </c>
      <c r="C71" s="171" t="str">
        <f>'YÜKLENİCİ ARAÇLARI'!C234</f>
        <v>BARIŞ YILMAZ</v>
      </c>
      <c r="D71" s="171" t="str">
        <f>'YÜKLENİCİ ARAÇLARI'!D234</f>
        <v>54 S 1284</v>
      </c>
      <c r="E71" s="216" t="str">
        <f>'YÜKLENİCİ ARAÇLARI'!E234</f>
        <v>eğitim adap</v>
      </c>
      <c r="F71" s="216">
        <f>'YÜKLENİCİ ARAÇLARI'!F234</f>
        <v>0</v>
      </c>
      <c r="G71" s="217">
        <f>'YÜKLENİCİ ARAÇLARI'!G234</f>
        <v>1400</v>
      </c>
      <c r="H71" s="217">
        <f>'YÜKLENİCİ ARAÇLARI'!H234</f>
        <v>0</v>
      </c>
      <c r="I71" s="217">
        <f>'YÜKLENİCİ ARAÇLARI'!I234</f>
        <v>0</v>
      </c>
      <c r="J71" s="217">
        <f>'YÜKLENİCİ ARAÇLARI'!J234</f>
        <v>0</v>
      </c>
      <c r="K71" s="217">
        <f>'YÜKLENİCİ ARAÇLARI'!K234</f>
        <v>0</v>
      </c>
      <c r="L71" s="217">
        <f>'YÜKLENİCİ ARAÇLARI'!L234</f>
        <v>0</v>
      </c>
    </row>
    <row r="72" spans="1:13" ht="15" thickTop="1" thickBot="1" x14ac:dyDescent="0.3">
      <c r="A72" s="467" t="str">
        <f>'YÜKLENİCİ ARAÇLARI'!A235</f>
        <v>BURDA BEBEK</v>
      </c>
      <c r="B72" s="467" t="str">
        <f>'YÜKLENİCİ ARAÇLARI'!B235</f>
        <v>HENDEK RASİMPAŞA</v>
      </c>
      <c r="C72" s="467" t="str">
        <f>'YÜKLENİCİ ARAÇLARI'!C235</f>
        <v>BARIŞ YILMAZ</v>
      </c>
      <c r="D72" s="467" t="str">
        <f>'YÜKLENİCİ ARAÇLARI'!D235</f>
        <v>54 S 1284</v>
      </c>
      <c r="E72" s="467" t="str">
        <f>'YÜKLENİCİ ARAÇLARI'!E235</f>
        <v>CUMA</v>
      </c>
      <c r="F72" s="467">
        <f>'YÜKLENİCİ ARAÇLARI'!F235</f>
        <v>3</v>
      </c>
      <c r="G72" s="468">
        <f>'YÜKLENİCİ ARAÇLARI'!G235</f>
        <v>900</v>
      </c>
      <c r="H72" s="468">
        <f>'YÜKLENİCİ ARAÇLARI'!H235</f>
        <v>2700</v>
      </c>
      <c r="I72" s="468">
        <f>'YÜKLENİCİ ARAÇLARI'!I235</f>
        <v>540</v>
      </c>
      <c r="J72" s="468">
        <f>'YÜKLENİCİ ARAÇLARI'!J235</f>
        <v>3240</v>
      </c>
      <c r="K72" s="468">
        <f>'YÜKLENİCİ ARAÇLARI'!K235</f>
        <v>270</v>
      </c>
      <c r="L72" s="468">
        <f>'YÜKLENİCİ ARAÇLARI'!L235</f>
        <v>2970</v>
      </c>
    </row>
    <row r="73" spans="1:13" ht="15" thickTop="1" thickBot="1" x14ac:dyDescent="0.3">
      <c r="A73" s="467" t="str">
        <f>'YÜKLENİCİ ARAÇLARI'!A240</f>
        <v>BURDA BEBEK</v>
      </c>
      <c r="B73" s="467" t="str">
        <f>'YÜKLENİCİ ARAÇLARI'!B240</f>
        <v>KÖPRÜBAŞI</v>
      </c>
      <c r="C73" s="467" t="str">
        <f>'YÜKLENİCİ ARAÇLARI'!C240</f>
        <v>BARIŞ YILMAZ</v>
      </c>
      <c r="D73" s="467" t="str">
        <f>'YÜKLENİCİ ARAÇLARI'!D240</f>
        <v>54 S 1284</v>
      </c>
      <c r="E73" s="467">
        <v>0</v>
      </c>
      <c r="F73" s="467">
        <f>'YÜKLENİCİ ARAÇLARI'!F240</f>
        <v>37</v>
      </c>
      <c r="G73" s="468">
        <f>'YÜKLENİCİ ARAÇLARI'!G240</f>
        <v>550</v>
      </c>
      <c r="H73" s="468">
        <f>'YÜKLENİCİ ARAÇLARI'!H240</f>
        <v>20350</v>
      </c>
      <c r="I73" s="468">
        <f>'YÜKLENİCİ ARAÇLARI'!I240</f>
        <v>4070</v>
      </c>
      <c r="J73" s="468">
        <f>'YÜKLENİCİ ARAÇLARI'!J240</f>
        <v>24420</v>
      </c>
      <c r="K73" s="468">
        <f>'YÜKLENİCİ ARAÇLARI'!K240</f>
        <v>2035</v>
      </c>
      <c r="L73" s="468">
        <f>'YÜKLENİCİ ARAÇLARI'!L240</f>
        <v>22385</v>
      </c>
    </row>
    <row r="74" spans="1:13" ht="15" hidden="1" thickTop="1" thickBot="1" x14ac:dyDescent="0.3">
      <c r="A74" s="190"/>
      <c r="B74" s="190" t="str">
        <f>'YÜKLENİCİ ARAÇLARI'!B247</f>
        <v>ADAPAZARI ÇIKIİ ŞİRKET ARACI</v>
      </c>
      <c r="C74" s="190" t="str">
        <f>'YÜKLENİCİ ARAÇLARI'!C247</f>
        <v>BARIŞ YILMAZ</v>
      </c>
      <c r="D74" s="190">
        <f>'YÜKLENİCİ ARAÇLARI'!D247</f>
        <v>0</v>
      </c>
      <c r="E74" s="316" t="str">
        <f>'YÜKLENİCİ ARAÇLARI'!E247</f>
        <v>TEK</v>
      </c>
      <c r="F74" s="316">
        <f>'YÜKLENİCİ ARAÇLARI'!F247</f>
        <v>0</v>
      </c>
      <c r="G74" s="264">
        <f>'YÜKLENİCİ ARAÇLARI'!G247</f>
        <v>1400</v>
      </c>
      <c r="H74" s="264">
        <f>'YÜKLENİCİ ARAÇLARI'!H247</f>
        <v>0</v>
      </c>
      <c r="I74" s="264">
        <f>'YÜKLENİCİ ARAÇLARI'!I247</f>
        <v>0</v>
      </c>
      <c r="J74" s="264">
        <f>'YÜKLENİCİ ARAÇLARI'!J247</f>
        <v>0</v>
      </c>
      <c r="K74" s="264">
        <f>'YÜKLENİCİ ARAÇLARI'!K247</f>
        <v>0</v>
      </c>
      <c r="L74" s="264">
        <f>'YÜKLENİCİ ARAÇLARI'!L247</f>
        <v>0</v>
      </c>
    </row>
    <row r="75" spans="1:13" ht="13.2" customHeight="1" thickTop="1" thickBot="1" x14ac:dyDescent="0.3">
      <c r="A75" s="190"/>
      <c r="B75" s="183"/>
      <c r="C75" s="183"/>
      <c r="D75" s="183"/>
      <c r="E75" s="288"/>
      <c r="F75" s="288"/>
      <c r="G75" s="289"/>
      <c r="H75" s="290">
        <f>SUM(H70:H74)</f>
        <v>41050</v>
      </c>
      <c r="I75" s="290">
        <f t="shared" ref="I75:L75" si="21">SUM(I70:I74)</f>
        <v>8210</v>
      </c>
      <c r="J75" s="290">
        <f t="shared" si="21"/>
        <v>49260</v>
      </c>
      <c r="K75" s="290">
        <f t="shared" si="21"/>
        <v>4105</v>
      </c>
      <c r="L75" s="290">
        <f t="shared" si="21"/>
        <v>45155</v>
      </c>
    </row>
    <row r="76" spans="1:13" ht="13.2" customHeight="1" thickTop="1" x14ac:dyDescent="0.25">
      <c r="B76" s="189"/>
      <c r="C76" s="189"/>
      <c r="D76" s="189"/>
      <c r="E76" s="284"/>
      <c r="F76" s="284"/>
      <c r="G76" s="291"/>
      <c r="H76" s="291"/>
      <c r="I76" s="291"/>
      <c r="J76" s="291"/>
      <c r="K76" s="291"/>
      <c r="L76" s="291"/>
    </row>
    <row r="77" spans="1:13" ht="17.399999999999999" customHeight="1" thickBot="1" x14ac:dyDescent="0.3">
      <c r="A77" s="534" t="s">
        <v>104</v>
      </c>
      <c r="B77" s="535"/>
      <c r="C77" s="536"/>
      <c r="D77" s="191"/>
      <c r="E77" s="317"/>
      <c r="F77" s="317"/>
      <c r="G77" s="292"/>
      <c r="H77" s="292"/>
      <c r="I77" s="292"/>
      <c r="J77" s="292"/>
      <c r="K77" s="292"/>
      <c r="L77" s="292"/>
    </row>
    <row r="78" spans="1:13" ht="15" thickTop="1" thickBot="1" x14ac:dyDescent="0.3">
      <c r="A78" s="474" t="str">
        <f>'YÜKLENİCİ ARAÇLARI'!A112</f>
        <v>GEDİK DÖKÜM</v>
      </c>
      <c r="B78" s="474" t="str">
        <f>'YÜKLENİCİ ARAÇLARI'!B112</f>
        <v>HENDEK 1/BAYRAKTEPE/K.BAŞI</v>
      </c>
      <c r="C78" s="474" t="str">
        <f>'YÜKLENİCİ ARAÇLARI'!C112</f>
        <v>CEVDET KARAGÜZEL</v>
      </c>
      <c r="D78" s="474" t="str">
        <f>'YÜKLENİCİ ARAÇLARI'!D112</f>
        <v>27 LİK</v>
      </c>
      <c r="E78" s="474" t="str">
        <f>'YÜKLENİCİ ARAÇLARI'!E112</f>
        <v>GRŞ/ÇKŞ</v>
      </c>
      <c r="F78" s="474">
        <f>'YÜKLENİCİ ARAÇLARI'!F112</f>
        <v>18</v>
      </c>
      <c r="G78" s="475">
        <f>'YÜKLENİCİ ARAÇLARI'!G112</f>
        <v>2400</v>
      </c>
      <c r="H78" s="475">
        <f>'YÜKLENİCİ ARAÇLARI'!H112</f>
        <v>43200</v>
      </c>
      <c r="I78" s="475">
        <f>'YÜKLENİCİ ARAÇLARI'!I112</f>
        <v>8640</v>
      </c>
      <c r="J78" s="475">
        <f>'YÜKLENİCİ ARAÇLARI'!J112</f>
        <v>51840</v>
      </c>
      <c r="K78" s="475">
        <f>'YÜKLENİCİ ARAÇLARI'!K112</f>
        <v>4320</v>
      </c>
      <c r="L78" s="475">
        <f>'YÜKLENİCİ ARAÇLARI'!L112</f>
        <v>47520</v>
      </c>
      <c r="M78" s="173" t="s">
        <v>577</v>
      </c>
    </row>
    <row r="79" spans="1:13" ht="15" thickTop="1" thickBot="1" x14ac:dyDescent="0.3">
      <c r="A79" s="474" t="str">
        <f>'YÜKLENİCİ ARAÇLARI'!A113</f>
        <v>GEDİK DÖKÜM</v>
      </c>
      <c r="B79" s="474" t="str">
        <f>'YÜKLENİCİ ARAÇLARI'!B113</f>
        <v>HENDEK 1/BAYRAKTEPE/K.BAŞI</v>
      </c>
      <c r="C79" s="474" t="str">
        <f>'YÜKLENİCİ ARAÇLARI'!C113</f>
        <v>CEVDET KARAGÜZEL</v>
      </c>
      <c r="D79" s="474" t="str">
        <f>'YÜKLENİCİ ARAÇLARI'!D113</f>
        <v>27 LİK</v>
      </c>
      <c r="E79" s="474" t="str">
        <f>'YÜKLENİCİ ARAÇLARI'!E113</f>
        <v>MESAİ</v>
      </c>
      <c r="F79" s="474">
        <f>'YÜKLENİCİ ARAÇLARI'!F113</f>
        <v>0</v>
      </c>
      <c r="G79" s="475">
        <f>'YÜKLENİCİ ARAÇLARI'!G113</f>
        <v>1500</v>
      </c>
      <c r="H79" s="476">
        <f>'YÜKLENİCİ ARAÇLARI'!H113</f>
        <v>0</v>
      </c>
      <c r="I79" s="476">
        <f>'YÜKLENİCİ ARAÇLARI'!I113</f>
        <v>0</v>
      </c>
      <c r="J79" s="476">
        <f>'YÜKLENİCİ ARAÇLARI'!J113</f>
        <v>0</v>
      </c>
      <c r="K79" s="476">
        <f>'YÜKLENİCİ ARAÇLARI'!K113</f>
        <v>0</v>
      </c>
      <c r="L79" s="476">
        <f>'YÜKLENİCİ ARAÇLARI'!L113</f>
        <v>0</v>
      </c>
    </row>
    <row r="80" spans="1:13" ht="16.2" thickTop="1" thickBot="1" x14ac:dyDescent="0.3">
      <c r="G80" s="274"/>
      <c r="H80" s="262">
        <f>SUM(H78:H79)</f>
        <v>43200</v>
      </c>
      <c r="I80" s="262">
        <f>SUM(I78:I79)</f>
        <v>8640</v>
      </c>
      <c r="J80" s="262">
        <f>SUM(J78:J79)</f>
        <v>51840</v>
      </c>
      <c r="K80" s="262">
        <f>SUM(K78:K79)</f>
        <v>4320</v>
      </c>
      <c r="L80" s="262">
        <f>SUM(L78:L79)</f>
        <v>47520</v>
      </c>
    </row>
    <row r="81" spans="1:12" ht="18.600000000000001" thickTop="1" thickBot="1" x14ac:dyDescent="0.35">
      <c r="A81" s="529" t="s">
        <v>490</v>
      </c>
      <c r="B81" s="529"/>
      <c r="C81" s="529"/>
      <c r="D81" s="181"/>
    </row>
    <row r="82" spans="1:12" ht="14.4" customHeight="1" thickTop="1" thickBot="1" x14ac:dyDescent="0.3">
      <c r="A82" s="467" t="str">
        <f>'YÜKLENİCİ ARAÇLARI'!A64</f>
        <v>TÜRESAŞ</v>
      </c>
      <c r="B82" s="467" t="str">
        <f>'YÜKLENİCİ ARAÇLARI'!B64</f>
        <v>KURTKÖY</v>
      </c>
      <c r="C82" s="467" t="str">
        <f>'YÜKLENİCİ ARAÇLARI'!C64</f>
        <v>HAMDİ ÖCAL SAPANCA SYH</v>
      </c>
      <c r="D82" s="171"/>
      <c r="E82" s="467" t="str">
        <f>'YÜKLENİCİ ARAÇLARI'!E64</f>
        <v>GRŞ/ÇKŞ</v>
      </c>
      <c r="F82" s="467">
        <f>'YÜKLENİCİ ARAÇLARI'!F64</f>
        <v>19</v>
      </c>
      <c r="G82" s="468">
        <f>'YÜKLENİCİ ARAÇLARI'!G64</f>
        <v>3500</v>
      </c>
      <c r="H82" s="469">
        <f>'YÜKLENİCİ ARAÇLARI'!H64</f>
        <v>66500</v>
      </c>
      <c r="I82" s="469">
        <f>'YÜKLENİCİ ARAÇLARI'!I64</f>
        <v>13300</v>
      </c>
      <c r="J82" s="469">
        <f>'YÜKLENİCİ ARAÇLARI'!J64</f>
        <v>79800</v>
      </c>
      <c r="K82" s="469">
        <f>'YÜKLENİCİ ARAÇLARI'!K64</f>
        <v>6650</v>
      </c>
      <c r="L82" s="469">
        <f>'YÜKLENİCİ ARAÇLARI'!L64</f>
        <v>73150</v>
      </c>
    </row>
    <row r="83" spans="1:12" ht="16.2" thickTop="1" thickBot="1" x14ac:dyDescent="0.3">
      <c r="G83" s="274"/>
      <c r="H83" s="262">
        <f t="shared" ref="H83:L83" si="22">SUM(H82)</f>
        <v>66500</v>
      </c>
      <c r="I83" s="262">
        <f t="shared" si="22"/>
        <v>13300</v>
      </c>
      <c r="J83" s="262">
        <f t="shared" si="22"/>
        <v>79800</v>
      </c>
      <c r="K83" s="262">
        <f t="shared" si="22"/>
        <v>6650</v>
      </c>
      <c r="L83" s="262">
        <f t="shared" si="22"/>
        <v>73150</v>
      </c>
    </row>
    <row r="84" spans="1:12" ht="15.6" thickTop="1" x14ac:dyDescent="0.25">
      <c r="H84" s="281"/>
      <c r="I84" s="281"/>
      <c r="J84" s="281"/>
      <c r="K84" s="281"/>
      <c r="L84" s="281"/>
    </row>
    <row r="85" spans="1:12" ht="18" thickBot="1" x14ac:dyDescent="0.35">
      <c r="A85" s="530" t="s">
        <v>324</v>
      </c>
      <c r="B85" s="530"/>
      <c r="C85" s="530"/>
      <c r="D85" s="188"/>
    </row>
    <row r="86" spans="1:12" ht="15" thickTop="1" thickBot="1" x14ac:dyDescent="0.3">
      <c r="A86" s="467" t="str">
        <f>'YÜKLENİCİ ARAÇLARI'!A311</f>
        <v>B/PLAS</v>
      </c>
      <c r="B86" s="467" t="str">
        <f>'YÜKLENİCİ ARAÇLARI'!B311</f>
        <v>ARİFİYE BEŞKÖPRÜ</v>
      </c>
      <c r="C86" s="467" t="str">
        <f>'YÜKLENİCİ ARAÇLARI'!C311</f>
        <v>HASAN KAPDAN</v>
      </c>
      <c r="D86" s="467">
        <f>'YÜKLENİCİ ARAÇLARI'!D311</f>
        <v>0</v>
      </c>
      <c r="E86" s="467" t="str">
        <f>'YÜKLENİCİ ARAÇLARI'!E311</f>
        <v>ÇİFT</v>
      </c>
      <c r="F86" s="467">
        <f>'YÜKLENİCİ ARAÇLARI'!F311</f>
        <v>67</v>
      </c>
      <c r="G86" s="468">
        <f>'YÜKLENİCİ ARAÇLARI'!G311</f>
        <v>1180</v>
      </c>
      <c r="H86" s="468">
        <f>'YÜKLENİCİ ARAÇLARI'!H311</f>
        <v>79060</v>
      </c>
      <c r="I86" s="468">
        <f>'YÜKLENİCİ ARAÇLARI'!I311</f>
        <v>15812</v>
      </c>
      <c r="J86" s="468">
        <f>'YÜKLENİCİ ARAÇLARI'!J311</f>
        <v>94872</v>
      </c>
      <c r="K86" s="468">
        <f>'YÜKLENİCİ ARAÇLARI'!K311</f>
        <v>7906</v>
      </c>
      <c r="L86" s="468">
        <f>'YÜKLENİCİ ARAÇLARI'!L311</f>
        <v>86966</v>
      </c>
    </row>
    <row r="87" spans="1:12" s="192" customFormat="1" ht="19.2" customHeight="1" thickTop="1" thickBot="1" x14ac:dyDescent="0.3">
      <c r="A87" s="467" t="str">
        <f>'YÜKLENİCİ ARAÇLARI'!A312</f>
        <v>B/PLAS</v>
      </c>
      <c r="B87" s="467" t="str">
        <f>'YÜKLENİCİ ARAÇLARI'!B312</f>
        <v>ARİFİYE BEŞKÖPRÜ</v>
      </c>
      <c r="C87" s="467" t="str">
        <f>'YÜKLENİCİ ARAÇLARI'!C312</f>
        <v>HASAN KAPDAN</v>
      </c>
      <c r="D87" s="467">
        <f>'YÜKLENİCİ ARAÇLARI'!D312</f>
        <v>0</v>
      </c>
      <c r="E87" s="467" t="str">
        <f>'YÜKLENİCİ ARAÇLARI'!E312</f>
        <v>TEK</v>
      </c>
      <c r="F87" s="467">
        <f>'YÜKLENİCİ ARAÇLARI'!F312</f>
        <v>29</v>
      </c>
      <c r="G87" s="468">
        <f>'YÜKLENİCİ ARAÇLARI'!G312</f>
        <v>875</v>
      </c>
      <c r="H87" s="468">
        <f>'YÜKLENİCİ ARAÇLARI'!H312</f>
        <v>25375</v>
      </c>
      <c r="I87" s="468">
        <f>'YÜKLENİCİ ARAÇLARI'!I312</f>
        <v>5075</v>
      </c>
      <c r="J87" s="468">
        <f>'YÜKLENİCİ ARAÇLARI'!J312</f>
        <v>30450</v>
      </c>
      <c r="K87" s="468">
        <f>'YÜKLENİCİ ARAÇLARI'!K312</f>
        <v>2537.5</v>
      </c>
      <c r="L87" s="468">
        <f>'YÜKLENİCİ ARAÇLARI'!L312</f>
        <v>27912.5</v>
      </c>
    </row>
    <row r="88" spans="1:12" s="192" customFormat="1" ht="19.2" hidden="1" customHeight="1" thickTop="1" thickBot="1" x14ac:dyDescent="0.35">
      <c r="A88" s="185" t="e">
        <f>#REF!</f>
        <v>#REF!</v>
      </c>
      <c r="B88" s="185" t="e">
        <f>#REF!</f>
        <v>#REF!</v>
      </c>
      <c r="C88" s="185" t="e">
        <f>#REF!</f>
        <v>#REF!</v>
      </c>
      <c r="D88" s="185"/>
      <c r="E88" s="273" t="e">
        <f>#REF!</f>
        <v>#REF!</v>
      </c>
      <c r="F88" s="293" t="e">
        <f>#REF!</f>
        <v>#REF!</v>
      </c>
      <c r="G88" s="273" t="e">
        <f>#REF!</f>
        <v>#REF!</v>
      </c>
      <c r="H88" s="278" t="e">
        <f>#REF!</f>
        <v>#REF!</v>
      </c>
      <c r="I88" s="278" t="e">
        <f>#REF!</f>
        <v>#REF!</v>
      </c>
      <c r="J88" s="278" t="e">
        <f>#REF!</f>
        <v>#REF!</v>
      </c>
      <c r="K88" s="278" t="e">
        <f>#REF!</f>
        <v>#REF!</v>
      </c>
      <c r="L88" s="278" t="e">
        <f>#REF!</f>
        <v>#REF!</v>
      </c>
    </row>
    <row r="89" spans="1:12" ht="16.2" thickTop="1" thickBot="1" x14ac:dyDescent="0.3">
      <c r="H89" s="263">
        <f>SUM(H86:H87)</f>
        <v>104435</v>
      </c>
      <c r="I89" s="263">
        <f t="shared" ref="I89:L89" si="23">SUM(I86:I87)</f>
        <v>20887</v>
      </c>
      <c r="J89" s="263">
        <f t="shared" si="23"/>
        <v>125322</v>
      </c>
      <c r="K89" s="263">
        <f t="shared" si="23"/>
        <v>10443.5</v>
      </c>
      <c r="L89" s="263">
        <f t="shared" si="23"/>
        <v>114878.5</v>
      </c>
    </row>
    <row r="90" spans="1:12" ht="18.600000000000001" thickTop="1" thickBot="1" x14ac:dyDescent="0.35">
      <c r="A90" s="529" t="s">
        <v>503</v>
      </c>
      <c r="B90" s="529"/>
      <c r="C90" s="529"/>
      <c r="D90" s="181"/>
    </row>
    <row r="91" spans="1:12" ht="15" thickTop="1" thickBot="1" x14ac:dyDescent="0.3">
      <c r="A91" s="467" t="str">
        <f>'YÜKLENİCİ ARAÇLARI'!A19</f>
        <v>BAŞAK TRAKTÖR</v>
      </c>
      <c r="B91" s="467" t="str">
        <f>'YÜKLENİCİ ARAÇLARI'!B19</f>
        <v>ESENCE  1- B.ESENCE</v>
      </c>
      <c r="C91" s="467" t="str">
        <f>'YÜKLENİCİ ARAÇLARI'!C19</f>
        <v>ELİK TUR(HANİFİ ELİK)</v>
      </c>
      <c r="D91" s="467"/>
      <c r="E91" s="467" t="str">
        <f>'YÜKLENİCİ ARAÇLARI'!E19</f>
        <v>GRŞ/ÇKŞ</v>
      </c>
      <c r="F91" s="467">
        <f>'YÜKLENİCİ ARAÇLARI'!F19</f>
        <v>17</v>
      </c>
      <c r="G91" s="468">
        <f>'YÜKLENİCİ ARAÇLARI'!G19</f>
        <v>2000</v>
      </c>
      <c r="H91" s="468">
        <f>'YÜKLENİCİ ARAÇLARI'!H19</f>
        <v>34000</v>
      </c>
      <c r="I91" s="468">
        <f>'YÜKLENİCİ ARAÇLARI'!I19</f>
        <v>6800</v>
      </c>
      <c r="J91" s="468">
        <f>'YÜKLENİCİ ARAÇLARI'!J19</f>
        <v>40800</v>
      </c>
      <c r="K91" s="468">
        <f>'YÜKLENİCİ ARAÇLARI'!K19</f>
        <v>3400</v>
      </c>
      <c r="L91" s="468">
        <f>'YÜKLENİCİ ARAÇLARI'!L19</f>
        <v>37400</v>
      </c>
    </row>
    <row r="92" spans="1:12" ht="15" thickTop="1" thickBot="1" x14ac:dyDescent="0.3">
      <c r="A92" s="467" t="str">
        <f>'YÜKLENİCİ ARAÇLARI'!A20</f>
        <v>BAŞAK TRAKTÖR</v>
      </c>
      <c r="B92" s="467" t="str">
        <f>'YÜKLENİCİ ARAÇLARI'!B20</f>
        <v>20:30 MESAİ</v>
      </c>
      <c r="C92" s="467" t="str">
        <f>'YÜKLENİCİ ARAÇLARI'!C20</f>
        <v>ELİK TUR(HANİFİ ELİK)</v>
      </c>
      <c r="D92" s="467"/>
      <c r="E92" s="467" t="str">
        <f>'YÜKLENİCİ ARAÇLARI'!E20</f>
        <v>MESAİ</v>
      </c>
      <c r="F92" s="467">
        <f>'YÜKLENİCİ ARAÇLARI'!F20</f>
        <v>0</v>
      </c>
      <c r="G92" s="468">
        <f>'YÜKLENİCİ ARAÇLARI'!G20</f>
        <v>0</v>
      </c>
      <c r="H92" s="469">
        <f>'YÜKLENİCİ ARAÇLARI'!H20</f>
        <v>0</v>
      </c>
      <c r="I92" s="469">
        <f>'YÜKLENİCİ ARAÇLARI'!I20</f>
        <v>0</v>
      </c>
      <c r="J92" s="469">
        <f>'YÜKLENİCİ ARAÇLARI'!J20</f>
        <v>0</v>
      </c>
      <c r="K92" s="469">
        <f>'YÜKLENİCİ ARAÇLARI'!K20</f>
        <v>0</v>
      </c>
      <c r="L92" s="469">
        <f>'YÜKLENİCİ ARAÇLARI'!L20</f>
        <v>0</v>
      </c>
    </row>
    <row r="93" spans="1:12" ht="16.2" thickTop="1" thickBot="1" x14ac:dyDescent="0.3">
      <c r="H93" s="263">
        <f t="shared" ref="H93:L93" si="24">SUM(H91:H92)</f>
        <v>34000</v>
      </c>
      <c r="I93" s="263">
        <f t="shared" si="24"/>
        <v>6800</v>
      </c>
      <c r="J93" s="263">
        <f t="shared" si="24"/>
        <v>40800</v>
      </c>
      <c r="K93" s="263">
        <f t="shared" si="24"/>
        <v>3400</v>
      </c>
      <c r="L93" s="263">
        <f t="shared" si="24"/>
        <v>37400</v>
      </c>
    </row>
    <row r="94" spans="1:12" ht="18.600000000000001" thickTop="1" thickBot="1" x14ac:dyDescent="0.35">
      <c r="A94" s="529" t="s">
        <v>489</v>
      </c>
      <c r="B94" s="529"/>
      <c r="C94" s="529"/>
      <c r="D94" s="181"/>
    </row>
    <row r="95" spans="1:12" s="218" customFormat="1" ht="15" thickTop="1" thickBot="1" x14ac:dyDescent="0.3">
      <c r="A95" s="467" t="str">
        <f>'YÜKLENİCİ ARAÇLARI'!A46</f>
        <v>BAŞAK TRAKTÖR</v>
      </c>
      <c r="B95" s="467" t="str">
        <f>'YÜKLENİCİ ARAÇLARI'!B46</f>
        <v>FERİZLİ SÖĞÜTLÜ/AKARCA</v>
      </c>
      <c r="C95" s="467" t="str">
        <f>'YÜKLENİCİ ARAÇLARI'!C46</f>
        <v>EMİRCAN KURT</v>
      </c>
      <c r="D95" s="467"/>
      <c r="E95" s="467" t="str">
        <f>'YÜKLENİCİ ARAÇLARI'!E46</f>
        <v>GRŞ/ÇKŞ</v>
      </c>
      <c r="F95" s="467">
        <f>'YÜKLENİCİ ARAÇLARI'!F46</f>
        <v>13</v>
      </c>
      <c r="G95" s="468">
        <f>'YÜKLENİCİ ARAÇLARI'!G46</f>
        <v>3100</v>
      </c>
      <c r="H95" s="468">
        <f>'YÜKLENİCİ ARAÇLARI'!H46</f>
        <v>40300</v>
      </c>
      <c r="I95" s="468">
        <f>'YÜKLENİCİ ARAÇLARI'!I46</f>
        <v>8060</v>
      </c>
      <c r="J95" s="468">
        <f>'YÜKLENİCİ ARAÇLARI'!J46</f>
        <v>48360</v>
      </c>
      <c r="K95" s="468">
        <f>'YÜKLENİCİ ARAÇLARI'!K46</f>
        <v>4030</v>
      </c>
      <c r="L95" s="468">
        <f>'YÜKLENİCİ ARAÇLARI'!L46</f>
        <v>44330</v>
      </c>
    </row>
    <row r="96" spans="1:12" s="218" customFormat="1" ht="15" thickTop="1" thickBot="1" x14ac:dyDescent="0.3">
      <c r="A96" s="467" t="str">
        <f>'YÜKLENİCİ ARAÇLARI'!A48</f>
        <v>BAŞAK TRAKTÖR</v>
      </c>
      <c r="B96" s="467" t="str">
        <f>'YÜKLENİCİ ARAÇLARI'!B48</f>
        <v>VRD ÇARŞI/1/16 GRŞ/ÇIK</v>
      </c>
      <c r="C96" s="467" t="str">
        <f>'YÜKLENİCİ ARAÇLARI'!C48</f>
        <v>EMİRCAN KURT</v>
      </c>
      <c r="D96" s="467"/>
      <c r="E96" s="467" t="str">
        <f>'YÜKLENİCİ ARAÇLARI'!E48</f>
        <v>VRD</v>
      </c>
      <c r="F96" s="467">
        <f>'YÜKLENİCİ ARAÇLARI'!F48</f>
        <v>39</v>
      </c>
      <c r="G96" s="468">
        <f>'YÜKLENİCİ ARAÇLARI'!G48</f>
        <v>900</v>
      </c>
      <c r="H96" s="468">
        <f>'YÜKLENİCİ ARAÇLARI'!H48</f>
        <v>35100</v>
      </c>
      <c r="I96" s="468">
        <f>'YÜKLENİCİ ARAÇLARI'!I48</f>
        <v>7020</v>
      </c>
      <c r="J96" s="468">
        <f>'YÜKLENİCİ ARAÇLARI'!J48</f>
        <v>42120</v>
      </c>
      <c r="K96" s="468">
        <f>'YÜKLENİCİ ARAÇLARI'!K48</f>
        <v>3510</v>
      </c>
      <c r="L96" s="468">
        <f>'YÜKLENİCİ ARAÇLARI'!L48</f>
        <v>38610</v>
      </c>
    </row>
    <row r="97" spans="1:14" s="218" customFormat="1" ht="15" thickTop="1" thickBot="1" x14ac:dyDescent="0.3">
      <c r="A97" s="467" t="str">
        <f>'YÜKLENİCİ ARAÇLARI'!A49</f>
        <v>BAŞAK TRAKTÖR</v>
      </c>
      <c r="B97" s="467" t="str">
        <f>'YÜKLENİCİ ARAÇLARI'!B49</f>
        <v>VRD ÇARŞI/1/16 GRŞ/ÇIK</v>
      </c>
      <c r="C97" s="467" t="str">
        <f>'YÜKLENİCİ ARAÇLARI'!C49</f>
        <v>EMİRCAN KURT</v>
      </c>
      <c r="D97" s="467">
        <f>'YÜKLENİCİ ARAÇLARI'!D49</f>
        <v>0</v>
      </c>
      <c r="E97" s="467" t="str">
        <f>'YÜKLENİCİ ARAÇLARI'!E49</f>
        <v>VRD</v>
      </c>
      <c r="F97" s="493">
        <f>'YÜKLENİCİ ARAÇLARI'!F49</f>
        <v>16</v>
      </c>
      <c r="G97" s="468">
        <f>'YÜKLENİCİ ARAÇLARI'!G49</f>
        <v>900</v>
      </c>
      <c r="H97" s="468">
        <f>'YÜKLENİCİ ARAÇLARI'!H49</f>
        <v>14400</v>
      </c>
      <c r="I97" s="468">
        <f>'YÜKLENİCİ ARAÇLARI'!I49</f>
        <v>2880</v>
      </c>
      <c r="J97" s="468">
        <f>'YÜKLENİCİ ARAÇLARI'!J49</f>
        <v>17280</v>
      </c>
      <c r="K97" s="468">
        <f>'YÜKLENİCİ ARAÇLARI'!K49</f>
        <v>1440</v>
      </c>
      <c r="L97" s="468">
        <f>'YÜKLENİCİ ARAÇLARI'!L49</f>
        <v>15840</v>
      </c>
    </row>
    <row r="98" spans="1:14" s="218" customFormat="1" ht="15" hidden="1" thickTop="1" thickBot="1" x14ac:dyDescent="0.3">
      <c r="A98" s="216" t="str">
        <f>'YÜKLENİCİ ARAÇLARI'!A53</f>
        <v>BAŞAK TRAKTÖR</v>
      </c>
      <c r="B98" s="216" t="str">
        <f>'YÜKLENİCİ ARAÇLARI'!B53</f>
        <v>VARDİYE ÇARŞI</v>
      </c>
      <c r="C98" s="216" t="str">
        <f>'YÜKLENİCİ ARAÇLARI'!C53</f>
        <v>EMİRCAN KURT</v>
      </c>
      <c r="D98" s="216"/>
      <c r="E98" s="216" t="str">
        <f>'YÜKLENİCİ ARAÇLARI'!E53</f>
        <v>VRD</v>
      </c>
      <c r="F98" s="216">
        <f>'YÜKLENİCİ ARAÇLARI'!F53</f>
        <v>0</v>
      </c>
      <c r="G98" s="217">
        <f>'YÜKLENİCİ ARAÇLARI'!G53</f>
        <v>900</v>
      </c>
      <c r="H98" s="217">
        <f>'YÜKLENİCİ ARAÇLARI'!H53</f>
        <v>0</v>
      </c>
      <c r="I98" s="217">
        <f>'YÜKLENİCİ ARAÇLARI'!I53</f>
        <v>0</v>
      </c>
      <c r="J98" s="217">
        <f>'YÜKLENİCİ ARAÇLARI'!J53</f>
        <v>0</v>
      </c>
      <c r="K98" s="217">
        <f>'YÜKLENİCİ ARAÇLARI'!K53</f>
        <v>0</v>
      </c>
      <c r="L98" s="217">
        <f>'YÜKLENİCİ ARAÇLARI'!L53</f>
        <v>0</v>
      </c>
    </row>
    <row r="99" spans="1:14" s="218" customFormat="1" ht="15" thickTop="1" thickBot="1" x14ac:dyDescent="0.3">
      <c r="A99" s="467" t="str">
        <f>'YÜKLENİCİ ARAÇLARI'!A51</f>
        <v>BAŞAK TRAKTÖR</v>
      </c>
      <c r="B99" s="467" t="str">
        <f>'YÜKLENİCİ ARAÇLARI'!B51</f>
        <v>GECE VRD ARALIK</v>
      </c>
      <c r="C99" s="467" t="str">
        <f>'YÜKLENİCİ ARAÇLARI'!C51</f>
        <v>EMİRCAN KURT</v>
      </c>
      <c r="D99" s="467"/>
      <c r="E99" s="467" t="str">
        <f>'YÜKLENİCİ ARAÇLARI'!E51</f>
        <v>VRD</v>
      </c>
      <c r="F99" s="467">
        <f>'YÜKLENİCİ ARAÇLARI'!F51</f>
        <v>18</v>
      </c>
      <c r="G99" s="468">
        <f>'YÜKLENİCİ ARAÇLARI'!G51</f>
        <v>1000</v>
      </c>
      <c r="H99" s="468">
        <f>'YÜKLENİCİ ARAÇLARI'!H51</f>
        <v>18000</v>
      </c>
      <c r="I99" s="468">
        <f>'YÜKLENİCİ ARAÇLARI'!I51</f>
        <v>3600</v>
      </c>
      <c r="J99" s="468">
        <f>'YÜKLENİCİ ARAÇLARI'!J51</f>
        <v>21600</v>
      </c>
      <c r="K99" s="468">
        <f>'YÜKLENİCİ ARAÇLARI'!K51</f>
        <v>1800</v>
      </c>
      <c r="L99" s="468">
        <f>'YÜKLENİCİ ARAÇLARI'!L51</f>
        <v>19800</v>
      </c>
    </row>
    <row r="100" spans="1:14" s="218" customFormat="1" ht="15" thickTop="1" thickBot="1" x14ac:dyDescent="0.3">
      <c r="A100" s="467" t="str">
        <f>'YÜKLENİCİ ARAÇLARI'!A75</f>
        <v>TÜRESAŞ  ARAÇ</v>
      </c>
      <c r="B100" s="467" t="str">
        <f>'YÜKLENİCİ ARAÇLARI'!B75</f>
        <v>KİRALIK ARAÇ</v>
      </c>
      <c r="C100" s="467" t="str">
        <f>'YÜKLENİCİ ARAÇLARI'!C75</f>
        <v>ÖZCAN KURT</v>
      </c>
      <c r="D100" s="467"/>
      <c r="E100" s="467" t="str">
        <f>'YÜKLENİCİ ARAÇLARI'!E75</f>
        <v>AY</v>
      </c>
      <c r="F100" s="467">
        <f>'YÜKLENİCİ ARAÇLARI'!F75</f>
        <v>30</v>
      </c>
      <c r="G100" s="468">
        <f>'YÜKLENİCİ ARAÇLARI'!G75</f>
        <v>1335</v>
      </c>
      <c r="H100" s="468">
        <f>'YÜKLENİCİ ARAÇLARI'!H75</f>
        <v>40050</v>
      </c>
      <c r="I100" s="468">
        <f>'YÜKLENİCİ ARAÇLARI'!I75</f>
        <v>8010</v>
      </c>
      <c r="J100" s="468">
        <f>'YÜKLENİCİ ARAÇLARI'!J75</f>
        <v>48060</v>
      </c>
      <c r="K100" s="468">
        <f>'YÜKLENİCİ ARAÇLARI'!K75</f>
        <v>0</v>
      </c>
      <c r="L100" s="468">
        <f>'YÜKLENİCİ ARAÇLARI'!L75</f>
        <v>48060</v>
      </c>
    </row>
    <row r="101" spans="1:14" s="218" customFormat="1" ht="15" thickTop="1" thickBot="1" x14ac:dyDescent="0.3">
      <c r="A101" s="467" t="str">
        <f>'YÜKLENİCİ ARAÇLARI'!A319</f>
        <v>EREN OTO</v>
      </c>
      <c r="B101" s="467" t="str">
        <f>'YÜKLENİCİ ARAÇLARI'!B319</f>
        <v>ŞEKER MAH SERDİVAN/H.TEPE</v>
      </c>
      <c r="C101" s="467" t="str">
        <f>'YÜKLENİCİ ARAÇLARI'!C319</f>
        <v>EMİRCAN KURT</v>
      </c>
      <c r="D101" s="467">
        <f>'YÜKLENİCİ ARAÇLARI'!D319</f>
        <v>0</v>
      </c>
      <c r="E101" s="467" t="str">
        <f>'YÜKLENİCİ ARAÇLARI'!E319</f>
        <v>GRŞ/ÇIK</v>
      </c>
      <c r="F101" s="467">
        <f>'YÜKLENİCİ ARAÇLARI'!F319</f>
        <v>3.5</v>
      </c>
      <c r="G101" s="468">
        <f>'YÜKLENİCİ ARAÇLARI'!G319</f>
        <v>1800</v>
      </c>
      <c r="H101" s="468">
        <f>'YÜKLENİCİ ARAÇLARI'!H319</f>
        <v>6300</v>
      </c>
      <c r="I101" s="468">
        <f>'YÜKLENİCİ ARAÇLARI'!I319</f>
        <v>1260</v>
      </c>
      <c r="J101" s="468">
        <f>'YÜKLENİCİ ARAÇLARI'!J319</f>
        <v>7560</v>
      </c>
      <c r="K101" s="468">
        <f>'YÜKLENİCİ ARAÇLARI'!K319</f>
        <v>630</v>
      </c>
      <c r="L101" s="468">
        <f>'YÜKLENİCİ ARAÇLARI'!L319</f>
        <v>6930</v>
      </c>
    </row>
    <row r="102" spans="1:14" s="494" customFormat="1" ht="15" thickTop="1" thickBot="1" x14ac:dyDescent="0.3">
      <c r="A102" s="467" t="str">
        <f>'YÜKLENİCİ ARAÇLARI'!A237</f>
        <v>BURDA BEBEK</v>
      </c>
      <c r="B102" s="467" t="str">
        <f>'YÜKLENİCİ ARAÇLARI'!B237</f>
        <v>855 YERİNE</v>
      </c>
      <c r="C102" s="467" t="str">
        <f>'YÜKLENİCİ ARAÇLARI'!C237</f>
        <v>EMİRCAN KURT</v>
      </c>
      <c r="D102" s="467">
        <f>'YÜKLENİCİ ARAÇLARI'!D237</f>
        <v>0</v>
      </c>
      <c r="E102" s="467" t="str">
        <f>'YÜKLENİCİ ARAÇLARI'!E237</f>
        <v>VRD</v>
      </c>
      <c r="F102" s="467">
        <f>'YÜKLENİCİ ARAÇLARI'!F237</f>
        <v>1</v>
      </c>
      <c r="G102" s="468">
        <f>'YÜKLENİCİ ARAÇLARI'!G237</f>
        <v>1500</v>
      </c>
      <c r="H102" s="468">
        <f>'YÜKLENİCİ ARAÇLARI'!H237</f>
        <v>1500</v>
      </c>
      <c r="I102" s="468">
        <f>'YÜKLENİCİ ARAÇLARI'!I237</f>
        <v>300</v>
      </c>
      <c r="J102" s="468">
        <f>'YÜKLENİCİ ARAÇLARI'!J237</f>
        <v>1800</v>
      </c>
      <c r="K102" s="468">
        <f>'YÜKLENİCİ ARAÇLARI'!K237</f>
        <v>150</v>
      </c>
      <c r="L102" s="468">
        <f>'YÜKLENİCİ ARAÇLARI'!L237</f>
        <v>1650</v>
      </c>
    </row>
    <row r="103" spans="1:14" ht="15" thickTop="1" thickBot="1" x14ac:dyDescent="0.3">
      <c r="A103" s="467" t="str">
        <f>'YÜKLENİCİ ARAÇLARI'!A301</f>
        <v>ISILSAN</v>
      </c>
      <c r="B103" s="467" t="str">
        <f>'YÜKLENİCİ ARAÇLARI'!B301</f>
        <v>54 S 0860 YERİNE</v>
      </c>
      <c r="C103" s="467" t="str">
        <f>'YÜKLENİCİ ARAÇLARI'!C301</f>
        <v>EMİRCAN KURT</v>
      </c>
      <c r="D103" s="467">
        <f>'YÜKLENİCİ ARAÇLARI'!D301</f>
        <v>0</v>
      </c>
      <c r="E103" s="467" t="str">
        <f>'YÜKLENİCİ ARAÇLARI'!E301</f>
        <v>GRŞ/ÇIK TEK</v>
      </c>
      <c r="F103" s="467">
        <f>'YÜKLENİCİ ARAÇLARI'!F301</f>
        <v>1</v>
      </c>
      <c r="G103" s="468">
        <f>'YÜKLENİCİ ARAÇLARI'!G301</f>
        <v>1400</v>
      </c>
      <c r="H103" s="468">
        <f>'YÜKLENİCİ ARAÇLARI'!H301</f>
        <v>1400</v>
      </c>
      <c r="I103" s="468">
        <f>'YÜKLENİCİ ARAÇLARI'!I301</f>
        <v>280</v>
      </c>
      <c r="J103" s="468">
        <f>'YÜKLENİCİ ARAÇLARI'!J301</f>
        <v>1680</v>
      </c>
      <c r="K103" s="468">
        <f>'YÜKLENİCİ ARAÇLARI'!K301</f>
        <v>140</v>
      </c>
      <c r="L103" s="468">
        <f>'YÜKLENİCİ ARAÇLARI'!L301</f>
        <v>1540</v>
      </c>
    </row>
    <row r="104" spans="1:14" s="218" customFormat="1" ht="15" thickTop="1" thickBot="1" x14ac:dyDescent="0.3">
      <c r="A104" s="467" t="str">
        <f>'YÜKLENİCİ ARAÇLARI'!A138</f>
        <v>GEDİK DÖKÜM</v>
      </c>
      <c r="B104" s="467" t="str">
        <f>'YÜKLENİCİ ARAÇLARI'!B138</f>
        <v>ADAPAZARI 7/ SERDİVAN AVM EREN</v>
      </c>
      <c r="C104" s="467" t="str">
        <f>'YÜKLENİCİ ARAÇLARI'!C138</f>
        <v>EMİRCAN KURT</v>
      </c>
      <c r="D104" s="467" t="str">
        <f>'YÜKLENİCİ ARAÇLARI'!D138</f>
        <v>54 S 1071</v>
      </c>
      <c r="E104" s="467" t="str">
        <f>'YÜKLENİCİ ARAÇLARI'!E138</f>
        <v>GRŞ/ÇKŞ</v>
      </c>
      <c r="F104" s="467">
        <f>'YÜKLENİCİ ARAÇLARI'!F138</f>
        <v>21</v>
      </c>
      <c r="G104" s="468">
        <f>'YÜKLENİCİ ARAÇLARI'!G138</f>
        <v>2800</v>
      </c>
      <c r="H104" s="468">
        <f>'YÜKLENİCİ ARAÇLARI'!H138</f>
        <v>58800</v>
      </c>
      <c r="I104" s="468">
        <f>'YÜKLENİCİ ARAÇLARI'!I138</f>
        <v>11760</v>
      </c>
      <c r="J104" s="468">
        <f>'YÜKLENİCİ ARAÇLARI'!J138</f>
        <v>70560</v>
      </c>
      <c r="K104" s="468">
        <f>'YÜKLENİCİ ARAÇLARI'!K138</f>
        <v>5880</v>
      </c>
      <c r="L104" s="468">
        <f>'YÜKLENİCİ ARAÇLARI'!L138</f>
        <v>64680</v>
      </c>
    </row>
    <row r="105" spans="1:14" s="218" customFormat="1" ht="15" hidden="1" thickTop="1" thickBot="1" x14ac:dyDescent="0.3">
      <c r="A105" s="216" t="str">
        <f>'YÜKLENİCİ ARAÇLARI'!A139</f>
        <v>GEDİK DÖKÜM</v>
      </c>
      <c r="B105" s="216" t="str">
        <f>'YÜKLENİCİ ARAÇLARI'!B139</f>
        <v>ADAPAZARI 7/ SERDİVAN AVM EREN</v>
      </c>
      <c r="C105" s="216" t="str">
        <f>'YÜKLENİCİ ARAÇLARI'!C139</f>
        <v>EMİRCAN KURT</v>
      </c>
      <c r="D105" s="216" t="str">
        <f>'YÜKLENİCİ ARAÇLARI'!D139</f>
        <v>54 S 1071</v>
      </c>
      <c r="E105" s="216" t="str">
        <f>'YÜKLENİCİ ARAÇLARI'!E139</f>
        <v>MESAİ</v>
      </c>
      <c r="F105" s="216">
        <f>'YÜKLENİCİ ARAÇLARI'!F139</f>
        <v>0</v>
      </c>
      <c r="G105" s="217">
        <f>'YÜKLENİCİ ARAÇLARI'!G139</f>
        <v>1750</v>
      </c>
      <c r="H105" s="217">
        <f>'YÜKLENİCİ ARAÇLARI'!H139</f>
        <v>0</v>
      </c>
      <c r="I105" s="217">
        <f>'YÜKLENİCİ ARAÇLARI'!I139</f>
        <v>0</v>
      </c>
      <c r="J105" s="217">
        <f>'YÜKLENİCİ ARAÇLARI'!J139</f>
        <v>0</v>
      </c>
      <c r="K105" s="217">
        <f>'YÜKLENİCİ ARAÇLARI'!K139</f>
        <v>0</v>
      </c>
      <c r="L105" s="217">
        <f>'YÜKLENİCİ ARAÇLARI'!L139</f>
        <v>0</v>
      </c>
    </row>
    <row r="106" spans="1:14" s="218" customFormat="1" ht="15" hidden="1" thickTop="1" thickBot="1" x14ac:dyDescent="0.3">
      <c r="A106" s="216" t="str">
        <f>'YÜKLENİCİ ARAÇLARI'!A140</f>
        <v>GEDİK DÖKÜM</v>
      </c>
      <c r="B106" s="216" t="str">
        <f>'YÜKLENİCİ ARAÇLARI'!B140</f>
        <v>ADAPAZARI//GÜNEŞLER</v>
      </c>
      <c r="C106" s="216" t="str">
        <f>'YÜKLENİCİ ARAÇLARI'!C140</f>
        <v>EMİRCAN KURT</v>
      </c>
      <c r="D106" s="216" t="str">
        <f>'YÜKLENİCİ ARAÇLARI'!D140</f>
        <v>54 S 1071</v>
      </c>
      <c r="E106" s="216" t="str">
        <f>'YÜKLENİCİ ARAÇLARI'!E140</f>
        <v>MESAİ</v>
      </c>
      <c r="F106" s="216">
        <f>'YÜKLENİCİ ARAÇLARI'!F140</f>
        <v>0</v>
      </c>
      <c r="G106" s="217">
        <f>'YÜKLENİCİ ARAÇLARI'!G140</f>
        <v>1750</v>
      </c>
      <c r="H106" s="217">
        <f>'YÜKLENİCİ ARAÇLARI'!H140</f>
        <v>0</v>
      </c>
      <c r="I106" s="217">
        <f>'YÜKLENİCİ ARAÇLARI'!I140</f>
        <v>0</v>
      </c>
      <c r="J106" s="217">
        <f>'YÜKLENİCİ ARAÇLARI'!J140</f>
        <v>0</v>
      </c>
      <c r="K106" s="217">
        <f>'YÜKLENİCİ ARAÇLARI'!K140</f>
        <v>0</v>
      </c>
      <c r="L106" s="217">
        <f>'YÜKLENİCİ ARAÇLARI'!L140</f>
        <v>0</v>
      </c>
    </row>
    <row r="107" spans="1:14" ht="15.6" thickTop="1" x14ac:dyDescent="0.25">
      <c r="A107" s="193"/>
      <c r="B107" s="193"/>
      <c r="C107" s="193"/>
      <c r="D107" s="193"/>
      <c r="E107" s="318"/>
      <c r="F107" s="294"/>
      <c r="G107" s="281"/>
      <c r="H107" s="281">
        <f>SUM(H95:H106)</f>
        <v>215850</v>
      </c>
      <c r="I107" s="281">
        <f t="shared" ref="I107:L107" si="25">SUM(I95:I106)</f>
        <v>43170</v>
      </c>
      <c r="J107" s="281">
        <f t="shared" si="25"/>
        <v>259020</v>
      </c>
      <c r="K107" s="281">
        <f t="shared" si="25"/>
        <v>17580</v>
      </c>
      <c r="L107" s="281">
        <f t="shared" si="25"/>
        <v>241440</v>
      </c>
      <c r="N107" s="173">
        <v>154166.66</v>
      </c>
    </row>
    <row r="108" spans="1:14" s="186" customFormat="1" ht="15" x14ac:dyDescent="0.25">
      <c r="A108" s="193"/>
      <c r="B108" s="193"/>
      <c r="C108" s="193"/>
      <c r="D108" s="193"/>
      <c r="E108" s="318"/>
      <c r="F108" s="294"/>
      <c r="G108" s="281"/>
      <c r="H108" s="281"/>
      <c r="I108" s="281"/>
      <c r="J108" s="281"/>
      <c r="K108" s="281"/>
      <c r="L108" s="281"/>
      <c r="N108" s="484">
        <f>H107-N107</f>
        <v>61683.34</v>
      </c>
    </row>
    <row r="109" spans="1:14" s="186" customFormat="1" ht="18" thickBot="1" x14ac:dyDescent="0.35">
      <c r="A109" s="530" t="s">
        <v>279</v>
      </c>
      <c r="B109" s="530"/>
      <c r="C109" s="530"/>
      <c r="D109" s="188"/>
      <c r="E109" s="309"/>
      <c r="F109" s="268"/>
      <c r="G109" s="269"/>
      <c r="H109" s="269"/>
      <c r="I109" s="269"/>
      <c r="J109" s="269"/>
      <c r="K109" s="269"/>
      <c r="L109" s="269"/>
    </row>
    <row r="110" spans="1:14" ht="15" thickTop="1" thickBot="1" x14ac:dyDescent="0.3">
      <c r="A110" s="467" t="str">
        <f>'YÜKLENİCİ ARAÇLARI'!A52</f>
        <v>BAŞAK TRAKTÖR</v>
      </c>
      <c r="B110" s="467" t="str">
        <f>'YÜKLENİCİ ARAÇLARI'!B52</f>
        <v>Ş.İÇİ VRD GECE 24:00 ÇIKIŞ</v>
      </c>
      <c r="C110" s="467" t="str">
        <f>'YÜKLENİCİ ARAÇLARI'!C52</f>
        <v>Y EMRE OCAK</v>
      </c>
      <c r="D110" s="171"/>
      <c r="E110" s="467" t="str">
        <f>'YÜKLENİCİ ARAÇLARI'!E52</f>
        <v>VRD</v>
      </c>
      <c r="F110" s="467">
        <f>'YÜKLENİCİ ARAÇLARI'!F52</f>
        <v>11</v>
      </c>
      <c r="G110" s="468">
        <f>'YÜKLENİCİ ARAÇLARI'!G52</f>
        <v>900</v>
      </c>
      <c r="H110" s="468">
        <f>'YÜKLENİCİ ARAÇLARI'!H52</f>
        <v>9900</v>
      </c>
      <c r="I110" s="468">
        <f>'YÜKLENİCİ ARAÇLARI'!I52</f>
        <v>1980</v>
      </c>
      <c r="J110" s="468">
        <f>'YÜKLENİCİ ARAÇLARI'!J52</f>
        <v>11880</v>
      </c>
      <c r="K110" s="468">
        <f>'YÜKLENİCİ ARAÇLARI'!K52</f>
        <v>990</v>
      </c>
      <c r="L110" s="468">
        <f>'YÜKLENİCİ ARAÇLARI'!L52</f>
        <v>10890</v>
      </c>
    </row>
    <row r="111" spans="1:14" ht="15" thickTop="1" thickBot="1" x14ac:dyDescent="0.3">
      <c r="A111" s="467" t="str">
        <f>'YÜKLENİCİ ARAÇLARI'!A167</f>
        <v>GEDİK KAYNAK</v>
      </c>
      <c r="B111" s="467" t="str">
        <f>'YÜKLENİCİ ARAÇLARI'!B167</f>
        <v>ADAPAZARI  Ş.MAH.ORT GRŞ</v>
      </c>
      <c r="C111" s="467" t="str">
        <f>'YÜKLENİCİ ARAÇLARI'!C167</f>
        <v>YUNUS EMRE OCAK</v>
      </c>
      <c r="D111" s="171" t="str">
        <f>'YÜKLENİCİ ARAÇLARI'!D167</f>
        <v>54 S 2315</v>
      </c>
      <c r="E111" s="467" t="str">
        <f>'YÜKLENİCİ ARAÇLARI'!E167</f>
        <v>GRŞ/ÇIKIŞ</v>
      </c>
      <c r="F111" s="467">
        <f>'YÜKLENİCİ ARAÇLARI'!F167</f>
        <v>21</v>
      </c>
      <c r="G111" s="468">
        <f>'YÜKLENİCİ ARAÇLARI'!G167</f>
        <v>2800</v>
      </c>
      <c r="H111" s="468">
        <f>'YÜKLENİCİ ARAÇLARI'!H167</f>
        <v>58800</v>
      </c>
      <c r="I111" s="468">
        <f>'YÜKLENİCİ ARAÇLARI'!I167</f>
        <v>11760</v>
      </c>
      <c r="J111" s="468">
        <f>'YÜKLENİCİ ARAÇLARI'!J167</f>
        <v>70560</v>
      </c>
      <c r="K111" s="468">
        <f>'YÜKLENİCİ ARAÇLARI'!K167</f>
        <v>5880</v>
      </c>
      <c r="L111" s="468">
        <f>'YÜKLENİCİ ARAÇLARI'!L167</f>
        <v>64680</v>
      </c>
    </row>
    <row r="112" spans="1:14" ht="15" thickTop="1" thickBot="1" x14ac:dyDescent="0.3">
      <c r="A112" s="467" t="str">
        <f>'YÜKLENİCİ ARAÇLARI'!A168</f>
        <v>GEDİK KAYNAK</v>
      </c>
      <c r="B112" s="467" t="str">
        <f>'YÜKLENİCİ ARAÇLARI'!B168</f>
        <v>ADAPAZARI KUYU DİBİ K.TERM</v>
      </c>
      <c r="C112" s="467" t="str">
        <f>'YÜKLENİCİ ARAÇLARI'!C168</f>
        <v>YUNUS EMRE OCAK</v>
      </c>
      <c r="D112" s="171" t="str">
        <f>'YÜKLENİCİ ARAÇLARI'!D168</f>
        <v>54 S 2179</v>
      </c>
      <c r="E112" s="467" t="str">
        <f>'YÜKLENİCİ ARAÇLARI'!E168</f>
        <v>TEK</v>
      </c>
      <c r="F112" s="467">
        <f>'YÜKLENİCİ ARAÇLARI'!F168</f>
        <v>0</v>
      </c>
      <c r="G112" s="468">
        <f>'YÜKLENİCİ ARAÇLARI'!G168</f>
        <v>2800</v>
      </c>
      <c r="H112" s="468">
        <f>'YÜKLENİCİ ARAÇLARI'!H168</f>
        <v>0</v>
      </c>
      <c r="I112" s="468">
        <f>'YÜKLENİCİ ARAÇLARI'!I168</f>
        <v>0</v>
      </c>
      <c r="J112" s="468">
        <f>'YÜKLENİCİ ARAÇLARI'!J168</f>
        <v>0</v>
      </c>
      <c r="K112" s="468">
        <f>'YÜKLENİCİ ARAÇLARI'!K168</f>
        <v>0</v>
      </c>
      <c r="L112" s="468">
        <f>'YÜKLENİCİ ARAÇLARI'!L168</f>
        <v>0</v>
      </c>
    </row>
    <row r="113" spans="1:12" s="192" customFormat="1" ht="19.2" customHeight="1" thickTop="1" thickBot="1" x14ac:dyDescent="0.3">
      <c r="A113" s="467" t="str">
        <f>'YÜKLENİCİ ARAÇLARI'!A189</f>
        <v>GEDİK KAYNAK</v>
      </c>
      <c r="B113" s="467" t="str">
        <f>'YÜKLENİCİ ARAÇLARI'!B189</f>
        <v>ADAPAZARI YAZLIK</v>
      </c>
      <c r="C113" s="467" t="str">
        <f>'YÜKLENİCİ ARAÇLARI'!C189</f>
        <v>YUNUS EMRE OCAK</v>
      </c>
      <c r="D113" s="171">
        <f>'YÜKLENİCİ ARAÇLARI'!D189</f>
        <v>0</v>
      </c>
      <c r="E113" s="467" t="str">
        <f>'YÜKLENİCİ ARAÇLARI'!E189</f>
        <v>20:00 MESAİ</v>
      </c>
      <c r="F113" s="467">
        <f>'YÜKLENİCİ ARAÇLARI'!F189</f>
        <v>15</v>
      </c>
      <c r="G113" s="468">
        <f>'YÜKLENİCİ ARAÇLARI'!G189</f>
        <v>1750</v>
      </c>
      <c r="H113" s="468">
        <f>'YÜKLENİCİ ARAÇLARI'!H189</f>
        <v>26250</v>
      </c>
      <c r="I113" s="468">
        <f>'YÜKLENİCİ ARAÇLARI'!I189</f>
        <v>5250</v>
      </c>
      <c r="J113" s="468">
        <f>'YÜKLENİCİ ARAÇLARI'!J189</f>
        <v>31500</v>
      </c>
      <c r="K113" s="468">
        <f>'YÜKLENİCİ ARAÇLARI'!K189</f>
        <v>2625</v>
      </c>
      <c r="L113" s="468">
        <f>'YÜKLENİCİ ARAÇLARI'!L189</f>
        <v>28875</v>
      </c>
    </row>
    <row r="114" spans="1:12" ht="15" thickTop="1" thickBot="1" x14ac:dyDescent="0.3">
      <c r="A114" s="467" t="str">
        <f>'YÜKLENİCİ ARAÇLARI'!A196</f>
        <v>GEDİK KAYNAK</v>
      </c>
      <c r="B114" s="467" t="str">
        <f>'YÜKLENİCİ ARAÇLARI'!B196</f>
        <v>ADAPAZARI</v>
      </c>
      <c r="C114" s="467" t="str">
        <f>'YÜKLENİCİ ARAÇLARI'!C196</f>
        <v>YUNUS EMRE OCAK</v>
      </c>
      <c r="D114" s="171">
        <f>'YÜKLENİCİ ARAÇLARI'!D196</f>
        <v>0</v>
      </c>
      <c r="E114" s="467" t="str">
        <f>'YÜKLENİCİ ARAÇLARI'!E196</f>
        <v>PAZAR</v>
      </c>
      <c r="F114" s="467">
        <f>'YÜKLENİCİ ARAÇLARI'!F196</f>
        <v>2</v>
      </c>
      <c r="G114" s="468">
        <f>'YÜKLENİCİ ARAÇLARI'!G196</f>
        <v>2800</v>
      </c>
      <c r="H114" s="469">
        <f>'YÜKLENİCİ ARAÇLARI'!H196</f>
        <v>5600</v>
      </c>
      <c r="I114" s="469">
        <f>'YÜKLENİCİ ARAÇLARI'!I196</f>
        <v>1120</v>
      </c>
      <c r="J114" s="469">
        <f>'YÜKLENİCİ ARAÇLARI'!J196</f>
        <v>6720</v>
      </c>
      <c r="K114" s="469">
        <f>'YÜKLENİCİ ARAÇLARI'!K196</f>
        <v>560</v>
      </c>
      <c r="L114" s="469">
        <f>'YÜKLENİCİ ARAÇLARI'!L196</f>
        <v>6160</v>
      </c>
    </row>
    <row r="115" spans="1:12" ht="16.2" thickTop="1" thickBot="1" x14ac:dyDescent="0.3">
      <c r="H115" s="263">
        <f>SUM(H110:H114)</f>
        <v>100550</v>
      </c>
      <c r="I115" s="263">
        <f>SUM(I110:I114)</f>
        <v>20110</v>
      </c>
      <c r="J115" s="263">
        <f>SUM(J110:J114)</f>
        <v>120660</v>
      </c>
      <c r="K115" s="263">
        <f>SUM(K110:K114)</f>
        <v>10055</v>
      </c>
      <c r="L115" s="263">
        <f>SUM(L110:L114)</f>
        <v>110605</v>
      </c>
    </row>
    <row r="116" spans="1:12" s="186" customFormat="1" ht="15.6" thickTop="1" x14ac:dyDescent="0.25">
      <c r="A116" s="193"/>
      <c r="B116" s="193"/>
      <c r="C116" s="193"/>
      <c r="D116" s="193"/>
      <c r="E116" s="318"/>
      <c r="F116" s="294"/>
      <c r="G116" s="281"/>
      <c r="H116" s="281"/>
      <c r="I116" s="281"/>
      <c r="J116" s="281"/>
      <c r="K116" s="281"/>
      <c r="L116" s="281"/>
    </row>
    <row r="117" spans="1:12" ht="18" thickBot="1" x14ac:dyDescent="0.35">
      <c r="A117" s="529" t="s">
        <v>502</v>
      </c>
      <c r="B117" s="529"/>
      <c r="C117" s="529"/>
      <c r="D117" s="181"/>
    </row>
    <row r="118" spans="1:12" ht="15" thickTop="1" thickBot="1" x14ac:dyDescent="0.3">
      <c r="A118" s="467" t="str">
        <f>'YÜKLENİCİ ARAÇLARI'!A296</f>
        <v>ISILSAN</v>
      </c>
      <c r="B118" s="467" t="str">
        <f>'YÜKLENİCİ ARAÇLARI'!B296</f>
        <v>BOYAHANE HENDEK/BUDAKLAR</v>
      </c>
      <c r="C118" s="467" t="str">
        <f>'YÜKLENİCİ ARAÇLARI'!C296</f>
        <v>ENES YILMAZ/HASAN AKDAĞCI</v>
      </c>
      <c r="D118" s="467">
        <f>'YÜKLENİCİ ARAÇLARI'!D296</f>
        <v>0</v>
      </c>
      <c r="E118" s="467" t="str">
        <f>'YÜKLENİCİ ARAÇLARI'!E296</f>
        <v>GRŞ/ÇIK</v>
      </c>
      <c r="F118" s="467">
        <f>'YÜKLENİCİ ARAÇLARI'!F296</f>
        <v>21</v>
      </c>
      <c r="G118" s="468">
        <f>'YÜKLENİCİ ARAÇLARI'!G296</f>
        <v>2800</v>
      </c>
      <c r="H118" s="468">
        <f>'YÜKLENİCİ ARAÇLARI'!H296</f>
        <v>58800</v>
      </c>
      <c r="I118" s="468">
        <f>'YÜKLENİCİ ARAÇLARI'!I296</f>
        <v>11760</v>
      </c>
      <c r="J118" s="468">
        <f>'YÜKLENİCİ ARAÇLARI'!J296</f>
        <v>70560</v>
      </c>
      <c r="K118" s="468">
        <f>'YÜKLENİCİ ARAÇLARI'!K296</f>
        <v>5880</v>
      </c>
      <c r="L118" s="468">
        <f>'YÜKLENİCİ ARAÇLARI'!L296</f>
        <v>64680</v>
      </c>
    </row>
    <row r="119" spans="1:12" ht="15" thickTop="1" thickBot="1" x14ac:dyDescent="0.3">
      <c r="A119" s="467" t="str">
        <f>'YÜKLENİCİ ARAÇLARI'!A298</f>
        <v>ISILSAN</v>
      </c>
      <c r="B119" s="467" t="str">
        <f>'YÜKLENİCİ ARAÇLARI'!B298</f>
        <v>BOYAHANEADAPAZARI MESAİ</v>
      </c>
      <c r="C119" s="467" t="str">
        <f>'YÜKLENİCİ ARAÇLARI'!C298</f>
        <v>ENES YILMAZ/HASAN AKDAĞCI</v>
      </c>
      <c r="D119" s="467">
        <f>'YÜKLENİCİ ARAÇLARI'!D298</f>
        <v>0</v>
      </c>
      <c r="E119" s="467" t="str">
        <f>'YÜKLENİCİ ARAÇLARI'!E298</f>
        <v>MESAİ</v>
      </c>
      <c r="F119" s="467">
        <f>'YÜKLENİCİ ARAÇLARI'!F298</f>
        <v>0</v>
      </c>
      <c r="G119" s="468">
        <f>'YÜKLENİCİ ARAÇLARI'!G298</f>
        <v>1700</v>
      </c>
      <c r="H119" s="469">
        <f>'YÜKLENİCİ ARAÇLARI'!H298</f>
        <v>0</v>
      </c>
      <c r="I119" s="469">
        <f>'YÜKLENİCİ ARAÇLARI'!I298</f>
        <v>0</v>
      </c>
      <c r="J119" s="469">
        <f>'YÜKLENİCİ ARAÇLARI'!J298</f>
        <v>0</v>
      </c>
      <c r="K119" s="469">
        <f>'YÜKLENİCİ ARAÇLARI'!K298</f>
        <v>0</v>
      </c>
      <c r="L119" s="469">
        <f>'YÜKLENİCİ ARAÇLARI'!L298</f>
        <v>0</v>
      </c>
    </row>
    <row r="120" spans="1:12" ht="16.2" thickTop="1" thickBot="1" x14ac:dyDescent="0.3">
      <c r="H120" s="263">
        <f t="shared" ref="H120:L120" si="26">SUM(H118:H119)</f>
        <v>58800</v>
      </c>
      <c r="I120" s="263">
        <f t="shared" si="26"/>
        <v>11760</v>
      </c>
      <c r="J120" s="263">
        <f t="shared" si="26"/>
        <v>70560</v>
      </c>
      <c r="K120" s="263">
        <f t="shared" si="26"/>
        <v>5880</v>
      </c>
      <c r="L120" s="263">
        <f t="shared" si="26"/>
        <v>64680</v>
      </c>
    </row>
    <row r="121" spans="1:12" ht="18.600000000000001" thickTop="1" thickBot="1" x14ac:dyDescent="0.35">
      <c r="A121" s="529" t="s">
        <v>487</v>
      </c>
      <c r="B121" s="529"/>
      <c r="C121" s="529"/>
      <c r="D121" s="181"/>
    </row>
    <row r="122" spans="1:12" ht="15" thickTop="1" thickBot="1" x14ac:dyDescent="0.3">
      <c r="A122" s="467" t="str">
        <f>'YÜKLENİCİ ARAÇLARI'!A29</f>
        <v>BAŞAK TRAKTÖR</v>
      </c>
      <c r="B122" s="467" t="str">
        <f>'YÜKLENİCİ ARAÇLARI'!B29</f>
        <v>GÜNEŞLER/E.GRJ/E OKULU</v>
      </c>
      <c r="C122" s="467" t="str">
        <f>'YÜKLENİCİ ARAÇLARI'!C29</f>
        <v>ERMAN TUR</v>
      </c>
      <c r="D122" s="467"/>
      <c r="E122" s="467" t="str">
        <f>'YÜKLENİCİ ARAÇLARI'!E29</f>
        <v>GRŞ/ÇKŞ</v>
      </c>
      <c r="F122" s="467">
        <f>'YÜKLENİCİ ARAÇLARI'!F29</f>
        <v>13</v>
      </c>
      <c r="G122" s="468">
        <f>'YÜKLENİCİ ARAÇLARI'!G29</f>
        <v>1800</v>
      </c>
      <c r="H122" s="468">
        <f>'YÜKLENİCİ ARAÇLARI'!H29</f>
        <v>23400</v>
      </c>
      <c r="I122" s="468">
        <f>'YÜKLENİCİ ARAÇLARI'!I29</f>
        <v>4680</v>
      </c>
      <c r="J122" s="468">
        <f>'YÜKLENİCİ ARAÇLARI'!J29</f>
        <v>28080</v>
      </c>
      <c r="K122" s="468">
        <f>'YÜKLENİCİ ARAÇLARI'!K29</f>
        <v>2340</v>
      </c>
      <c r="L122" s="468">
        <f>'YÜKLENİCİ ARAÇLARI'!L29</f>
        <v>25740</v>
      </c>
    </row>
    <row r="123" spans="1:12" ht="15" thickTop="1" thickBot="1" x14ac:dyDescent="0.3">
      <c r="A123" s="467" t="str">
        <f>'YÜKLENİCİ ARAÇLARI'!A30</f>
        <v>BAŞAK TRAKTÖR</v>
      </c>
      <c r="B123" s="467" t="str">
        <f>'YÜKLENİCİ ARAÇLARI'!B30</f>
        <v>MESAİ</v>
      </c>
      <c r="C123" s="467" t="str">
        <f>'YÜKLENİCİ ARAÇLARI'!C30</f>
        <v>ERMAN TUR</v>
      </c>
      <c r="D123" s="467"/>
      <c r="E123" s="467" t="str">
        <f>'YÜKLENİCİ ARAÇLARI'!E30</f>
        <v>MESAİ</v>
      </c>
      <c r="F123" s="467">
        <f>'YÜKLENİCİ ARAÇLARI'!F30</f>
        <v>0</v>
      </c>
      <c r="G123" s="468">
        <f>'YÜKLENİCİ ARAÇLARI'!G30</f>
        <v>0</v>
      </c>
      <c r="H123" s="469">
        <f>'YÜKLENİCİ ARAÇLARI'!H30</f>
        <v>0</v>
      </c>
      <c r="I123" s="469">
        <f>'YÜKLENİCİ ARAÇLARI'!I30</f>
        <v>0</v>
      </c>
      <c r="J123" s="469">
        <f>'YÜKLENİCİ ARAÇLARI'!J30</f>
        <v>0</v>
      </c>
      <c r="K123" s="469">
        <f>'YÜKLENİCİ ARAÇLARI'!K30</f>
        <v>0</v>
      </c>
      <c r="L123" s="469">
        <f>'YÜKLENİCİ ARAÇLARI'!L30</f>
        <v>0</v>
      </c>
    </row>
    <row r="124" spans="1:12" s="186" customFormat="1" ht="16.2" thickTop="1" thickBot="1" x14ac:dyDescent="0.3">
      <c r="A124" s="193"/>
      <c r="B124" s="193"/>
      <c r="C124" s="193"/>
      <c r="D124" s="193"/>
      <c r="E124" s="318"/>
      <c r="F124" s="294"/>
      <c r="G124" s="275"/>
      <c r="H124" s="262">
        <f>SUM(H122:H122)</f>
        <v>23400</v>
      </c>
      <c r="I124" s="262">
        <f>SUM(I122:I122)</f>
        <v>4680</v>
      </c>
      <c r="J124" s="262">
        <f>SUM(J122:J122)</f>
        <v>28080</v>
      </c>
      <c r="K124" s="262">
        <f>SUM(K122:K122)</f>
        <v>2340</v>
      </c>
      <c r="L124" s="262">
        <f>SUM(L122:L122)</f>
        <v>25740</v>
      </c>
    </row>
    <row r="125" spans="1:12" ht="18.600000000000001" thickTop="1" thickBot="1" x14ac:dyDescent="0.35">
      <c r="A125" s="529" t="str">
        <f>'YÜKLENİCİ ARAÇLARI'!C169</f>
        <v>FEYYAZ POLUMCU</v>
      </c>
      <c r="B125" s="529"/>
      <c r="C125" s="529"/>
      <c r="D125" s="181"/>
    </row>
    <row r="126" spans="1:12" ht="15" thickTop="1" thickBot="1" x14ac:dyDescent="0.3">
      <c r="A126" s="467" t="str">
        <f>'YÜKLENİCİ ARAÇLARI'!A169</f>
        <v>GEDİK KAYNAK</v>
      </c>
      <c r="B126" s="467" t="str">
        <f>'YÜKLENİCİ ARAÇLARI'!B169</f>
        <v>ADAPAZARI KUYU DİBİ K.TERM</v>
      </c>
      <c r="C126" s="467" t="str">
        <f>'YÜKLENİCİ ARAÇLARI'!C169</f>
        <v>FEYYAZ POLUMCU</v>
      </c>
      <c r="D126" s="467" t="str">
        <f>'YÜKLENİCİ ARAÇLARI'!D169</f>
        <v>54 S 2179</v>
      </c>
      <c r="E126" s="467" t="str">
        <f>'YÜKLENİCİ ARAÇLARI'!E169</f>
        <v>GRŞ/ÇIKIŞ</v>
      </c>
      <c r="F126" s="467">
        <f>'YÜKLENİCİ ARAÇLARI'!F169</f>
        <v>18</v>
      </c>
      <c r="G126" s="468">
        <f>'YÜKLENİCİ ARAÇLARI'!G169</f>
        <v>2800</v>
      </c>
      <c r="H126" s="490">
        <f>'YÜKLENİCİ ARAÇLARI'!H169</f>
        <v>50400</v>
      </c>
      <c r="I126" s="490">
        <f>'YÜKLENİCİ ARAÇLARI'!I169</f>
        <v>10080</v>
      </c>
      <c r="J126" s="490">
        <f>'YÜKLENİCİ ARAÇLARI'!J169</f>
        <v>60480</v>
      </c>
      <c r="K126" s="490">
        <f>'YÜKLENİCİ ARAÇLARI'!K169</f>
        <v>5040</v>
      </c>
      <c r="L126" s="490">
        <f>'YÜKLENİCİ ARAÇLARI'!L169</f>
        <v>55440</v>
      </c>
    </row>
    <row r="127" spans="1:12" ht="15.6" thickTop="1" x14ac:dyDescent="0.25">
      <c r="H127" s="295">
        <f t="shared" ref="H127:L127" si="27">SUM(H126)</f>
        <v>50400</v>
      </c>
      <c r="I127" s="295">
        <f t="shared" si="27"/>
        <v>10080</v>
      </c>
      <c r="J127" s="295">
        <f t="shared" si="27"/>
        <v>60480</v>
      </c>
      <c r="K127" s="295">
        <f t="shared" si="27"/>
        <v>5040</v>
      </c>
      <c r="L127" s="295">
        <f t="shared" si="27"/>
        <v>55440</v>
      </c>
    </row>
    <row r="128" spans="1:12" ht="18" thickBot="1" x14ac:dyDescent="0.35">
      <c r="A128" s="529" t="s">
        <v>593</v>
      </c>
      <c r="B128" s="529"/>
      <c r="C128" s="529"/>
      <c r="D128" s="181"/>
    </row>
    <row r="129" spans="1:12" ht="15" thickTop="1" thickBot="1" x14ac:dyDescent="0.3">
      <c r="A129" s="467" t="str">
        <f>'YÜKLENİCİ ARAÇLARI'!A86</f>
        <v>ALYAN GIDA</v>
      </c>
      <c r="B129" s="467" t="str">
        <f>'YÜKLENİCİ ARAÇLARI'!B86</f>
        <v>HENDEK KAZİMİYE RASİMPAŞA</v>
      </c>
      <c r="C129" s="467" t="str">
        <f>'YÜKLENİCİ ARAÇLARI'!C86</f>
        <v>ESRA YILMAZ ÖRCÜN dursun yılmaz</v>
      </c>
      <c r="D129" s="467" t="str">
        <f>'YÜKLENİCİ ARAÇLARI'!D86</f>
        <v>54 S 2849</v>
      </c>
      <c r="E129" s="467" t="str">
        <f>'YÜKLENİCİ ARAÇLARI'!E86</f>
        <v>ÇİFT</v>
      </c>
      <c r="F129" s="467">
        <f>'YÜKLENİCİ ARAÇLARI'!F86</f>
        <v>42</v>
      </c>
      <c r="G129" s="468">
        <f>'YÜKLENİCİ ARAÇLARI'!G86</f>
        <v>1130</v>
      </c>
      <c r="H129" s="468">
        <f>'YÜKLENİCİ ARAÇLARI'!H86</f>
        <v>47460</v>
      </c>
      <c r="I129" s="468">
        <f>'YÜKLENİCİ ARAÇLARI'!I86</f>
        <v>9492</v>
      </c>
      <c r="J129" s="468">
        <f>'YÜKLENİCİ ARAÇLARI'!J86</f>
        <v>56952</v>
      </c>
      <c r="K129" s="468">
        <f>'YÜKLENİCİ ARAÇLARI'!K86</f>
        <v>4746</v>
      </c>
      <c r="L129" s="468">
        <f>'YÜKLENİCİ ARAÇLARI'!L86</f>
        <v>52206</v>
      </c>
    </row>
    <row r="130" spans="1:12" ht="15" thickTop="1" thickBot="1" x14ac:dyDescent="0.3">
      <c r="A130" s="467" t="str">
        <f>'YÜKLENİCİ ARAÇLARI'!A87</f>
        <v>ALYAN GIDA</v>
      </c>
      <c r="B130" s="467" t="str">
        <f>'YÜKLENİCİ ARAÇLARI'!B87</f>
        <v>HENDEK KAZİMİYE RASİMPAŞA</v>
      </c>
      <c r="C130" s="467" t="str">
        <f>'YÜKLENİCİ ARAÇLARI'!C87</f>
        <v>ESRA YILMAZ ÖRCÜN dursun yılmaz</v>
      </c>
      <c r="D130" s="467" t="str">
        <f>'YÜKLENİCİ ARAÇLARI'!D87</f>
        <v>54 S 2849</v>
      </c>
      <c r="E130" s="467" t="str">
        <f>'YÜKLENİCİ ARAÇLARI'!E87</f>
        <v>TEK</v>
      </c>
      <c r="F130" s="467">
        <f>'YÜKLENİCİ ARAÇLARI'!F87</f>
        <v>11</v>
      </c>
      <c r="G130" s="468">
        <f>'YÜKLENİCİ ARAÇLARI'!G87</f>
        <v>900</v>
      </c>
      <c r="H130" s="469">
        <f>'YÜKLENİCİ ARAÇLARI'!H87</f>
        <v>9900</v>
      </c>
      <c r="I130" s="469">
        <f>'YÜKLENİCİ ARAÇLARI'!I87</f>
        <v>1980</v>
      </c>
      <c r="J130" s="469">
        <f>'YÜKLENİCİ ARAÇLARI'!J87</f>
        <v>11880</v>
      </c>
      <c r="K130" s="469">
        <f>'YÜKLENİCİ ARAÇLARI'!K87</f>
        <v>990</v>
      </c>
      <c r="L130" s="469">
        <f>'YÜKLENİCİ ARAÇLARI'!L87</f>
        <v>10890</v>
      </c>
    </row>
    <row r="131" spans="1:12" ht="16.2" thickTop="1" thickBot="1" x14ac:dyDescent="0.3">
      <c r="A131" s="171"/>
      <c r="B131" s="171"/>
      <c r="C131" s="171"/>
      <c r="D131" s="171"/>
      <c r="E131" s="216"/>
      <c r="F131" s="311"/>
      <c r="G131" s="296"/>
      <c r="H131" s="262">
        <f t="shared" ref="H131:L131" si="28">SUM(H129:H130)</f>
        <v>57360</v>
      </c>
      <c r="I131" s="262">
        <f t="shared" si="28"/>
        <v>11472</v>
      </c>
      <c r="J131" s="262">
        <f t="shared" si="28"/>
        <v>68832</v>
      </c>
      <c r="K131" s="262">
        <f t="shared" si="28"/>
        <v>5736</v>
      </c>
      <c r="L131" s="262">
        <f t="shared" si="28"/>
        <v>63096</v>
      </c>
    </row>
    <row r="132" spans="1:12" ht="20.399999999999999" customHeight="1" thickTop="1" thickBot="1" x14ac:dyDescent="0.35">
      <c r="A132" s="529" t="s">
        <v>167</v>
      </c>
      <c r="B132" s="529"/>
      <c r="C132" s="529"/>
      <c r="D132" s="181"/>
    </row>
    <row r="133" spans="1:12" ht="15" thickTop="1" thickBot="1" x14ac:dyDescent="0.3">
      <c r="A133" s="467" t="str">
        <f>'YÜKLENİCİ ARAÇLARI'!A284</f>
        <v>ISILSAN</v>
      </c>
      <c r="B133" s="467" t="str">
        <f>'YÜKLENİCİ ARAÇLARI'!B284</f>
        <v>DSİ/HIZIRTEPE</v>
      </c>
      <c r="C133" s="467" t="str">
        <f>'YÜKLENİCİ ARAÇLARI'!C284</f>
        <v>EYÜP ERDİ TÜREDİ</v>
      </c>
      <c r="D133" s="467" t="str">
        <f>'YÜKLENİCİ ARAÇLARI'!D284</f>
        <v>54 S 0467</v>
      </c>
      <c r="E133" s="467" t="str">
        <f>'YÜKLENİCİ ARAÇLARI'!E284</f>
        <v>08:00/18:00</v>
      </c>
      <c r="F133" s="467">
        <f>'YÜKLENİCİ ARAÇLARI'!F284</f>
        <v>21</v>
      </c>
      <c r="G133" s="468">
        <f>'YÜKLENİCİ ARAÇLARI'!G284</f>
        <v>2750</v>
      </c>
      <c r="H133" s="468">
        <f>'YÜKLENİCİ ARAÇLARI'!H284</f>
        <v>57750</v>
      </c>
      <c r="I133" s="468">
        <f>'YÜKLENİCİ ARAÇLARI'!I284</f>
        <v>11550</v>
      </c>
      <c r="J133" s="468">
        <f>'YÜKLENİCİ ARAÇLARI'!J284</f>
        <v>69300</v>
      </c>
      <c r="K133" s="468">
        <f>'YÜKLENİCİ ARAÇLARI'!K284</f>
        <v>5775</v>
      </c>
      <c r="L133" s="468">
        <f>'YÜKLENİCİ ARAÇLARI'!L284</f>
        <v>63525</v>
      </c>
    </row>
    <row r="134" spans="1:12" ht="15" thickTop="1" thickBot="1" x14ac:dyDescent="0.3">
      <c r="A134" s="467" t="str">
        <f>'YÜKLENİCİ ARAÇLARI'!A285</f>
        <v>ISILSAN</v>
      </c>
      <c r="B134" s="467" t="str">
        <f>'YÜKLENİCİ ARAÇLARI'!B285</f>
        <v>DSİ/HIZIRTEPE</v>
      </c>
      <c r="C134" s="467" t="str">
        <f>'YÜKLENİCİ ARAÇLARI'!C285</f>
        <v>EYÜP ERDİ TÜREDİ</v>
      </c>
      <c r="D134" s="467" t="str">
        <f>'YÜKLENİCİ ARAÇLARI'!D285</f>
        <v>54 S 0467</v>
      </c>
      <c r="E134" s="467" t="str">
        <f>'YÜKLENİCİ ARAÇLARI'!E285</f>
        <v>21:30/08:00</v>
      </c>
      <c r="F134" s="467">
        <f>'YÜKLENİCİ ARAÇLARI'!F285</f>
        <v>18</v>
      </c>
      <c r="G134" s="468">
        <f>'YÜKLENİCİ ARAÇLARI'!G285</f>
        <v>2750</v>
      </c>
      <c r="H134" s="468">
        <f>'YÜKLENİCİ ARAÇLARI'!H285</f>
        <v>49500</v>
      </c>
      <c r="I134" s="468">
        <f>'YÜKLENİCİ ARAÇLARI'!I285</f>
        <v>9900</v>
      </c>
      <c r="J134" s="468">
        <f>'YÜKLENİCİ ARAÇLARI'!J285</f>
        <v>59400</v>
      </c>
      <c r="K134" s="468">
        <f>'YÜKLENİCİ ARAÇLARI'!K285</f>
        <v>4950</v>
      </c>
      <c r="L134" s="468">
        <f>'YÜKLENİCİ ARAÇLARI'!L285</f>
        <v>54450</v>
      </c>
    </row>
    <row r="135" spans="1:12" ht="15" thickTop="1" thickBot="1" x14ac:dyDescent="0.3">
      <c r="A135" s="467" t="str">
        <f>'YÜKLENİCİ ARAÇLARI'!A286</f>
        <v>ISILSAN</v>
      </c>
      <c r="B135" s="467" t="str">
        <f>'YÜKLENİCİ ARAÇLARI'!B286</f>
        <v>DSİ/HIZIRTEPE</v>
      </c>
      <c r="C135" s="467" t="str">
        <f>'YÜKLENİCİ ARAÇLARI'!C286</f>
        <v>EYÜP ERDİ TÜREDİ</v>
      </c>
      <c r="D135" s="467" t="str">
        <f>'YÜKLENİCİ ARAÇLARI'!D286</f>
        <v>54 S 0467</v>
      </c>
      <c r="E135" s="467" t="str">
        <f>'YÜKLENİCİ ARAÇLARI'!E286</f>
        <v>ADAP MESAİ</v>
      </c>
      <c r="F135" s="467">
        <f>'YÜKLENİCİ ARAÇLARI'!F286</f>
        <v>3</v>
      </c>
      <c r="G135" s="468">
        <f>'YÜKLENİCİ ARAÇLARI'!G286</f>
        <v>1700</v>
      </c>
      <c r="H135" s="468">
        <f>'YÜKLENİCİ ARAÇLARI'!H286</f>
        <v>5100</v>
      </c>
      <c r="I135" s="468">
        <f>'YÜKLENİCİ ARAÇLARI'!I286</f>
        <v>1020</v>
      </c>
      <c r="J135" s="468">
        <f>'YÜKLENİCİ ARAÇLARI'!J286</f>
        <v>6120</v>
      </c>
      <c r="K135" s="468">
        <f>'YÜKLENİCİ ARAÇLARI'!K286</f>
        <v>510</v>
      </c>
      <c r="L135" s="468">
        <f>'YÜKLENİCİ ARAÇLARI'!L286</f>
        <v>5610</v>
      </c>
    </row>
    <row r="136" spans="1:12" ht="15" thickTop="1" thickBot="1" x14ac:dyDescent="0.3">
      <c r="A136" s="467" t="str">
        <f>'YÜKLENİCİ ARAÇLARI'!A287</f>
        <v>ISILSAN</v>
      </c>
      <c r="B136" s="467" t="str">
        <f>'YÜKLENİCİ ARAÇLARI'!B287</f>
        <v>DSİ/HIZIRTEPE</v>
      </c>
      <c r="C136" s="467" t="str">
        <f>'YÜKLENİCİ ARAÇLARI'!C287</f>
        <v>EYÜP ERDİ TÜREDİ</v>
      </c>
      <c r="D136" s="467" t="str">
        <f>'YÜKLENİCİ ARAÇLARI'!D287</f>
        <v>54 S 0467</v>
      </c>
      <c r="E136" s="467" t="str">
        <f>'YÜKLENİCİ ARAÇLARI'!E287</f>
        <v>KOR.MES</v>
      </c>
      <c r="F136" s="467">
        <f>'YÜKLENİCİ ARAÇLARI'!F287</f>
        <v>12</v>
      </c>
      <c r="G136" s="468">
        <f>'YÜKLENİCİ ARAÇLARI'!G287</f>
        <v>2000</v>
      </c>
      <c r="H136" s="469">
        <f>'YÜKLENİCİ ARAÇLARI'!H287</f>
        <v>24000</v>
      </c>
      <c r="I136" s="469">
        <f>'YÜKLENİCİ ARAÇLARI'!I287</f>
        <v>4800</v>
      </c>
      <c r="J136" s="469">
        <f>'YÜKLENİCİ ARAÇLARI'!J287</f>
        <v>28800</v>
      </c>
      <c r="K136" s="469">
        <f>'YÜKLENİCİ ARAÇLARI'!K287</f>
        <v>2400</v>
      </c>
      <c r="L136" s="469">
        <f>'YÜKLENİCİ ARAÇLARI'!L287</f>
        <v>26400</v>
      </c>
    </row>
    <row r="137" spans="1:12" ht="16.2" thickTop="1" thickBot="1" x14ac:dyDescent="0.3">
      <c r="H137" s="263">
        <f t="shared" ref="H137:L137" si="29">SUM(H133:H136)</f>
        <v>136350</v>
      </c>
      <c r="I137" s="263">
        <f t="shared" si="29"/>
        <v>27270</v>
      </c>
      <c r="J137" s="263">
        <f t="shared" si="29"/>
        <v>163620</v>
      </c>
      <c r="K137" s="263">
        <f t="shared" si="29"/>
        <v>13635</v>
      </c>
      <c r="L137" s="263">
        <f t="shared" si="29"/>
        <v>149985</v>
      </c>
    </row>
    <row r="138" spans="1:12" ht="15.6" thickTop="1" x14ac:dyDescent="0.25">
      <c r="H138" s="281"/>
      <c r="I138" s="281"/>
      <c r="J138" s="281"/>
      <c r="K138" s="281"/>
      <c r="L138" s="281"/>
    </row>
    <row r="139" spans="1:12" ht="18" thickBot="1" x14ac:dyDescent="0.35">
      <c r="A139" s="529" t="s">
        <v>582</v>
      </c>
      <c r="B139" s="529"/>
      <c r="C139" s="529"/>
      <c r="D139" s="181"/>
    </row>
    <row r="140" spans="1:12" ht="15" thickTop="1" thickBot="1" x14ac:dyDescent="0.3">
      <c r="A140" s="467" t="str">
        <f>'YÜKLENİCİ ARAÇLARI'!A143</f>
        <v>GEDİK DÖKÜM</v>
      </c>
      <c r="B140" s="467" t="str">
        <f>'YÜKLENİCİ ARAÇLARI'!B143</f>
        <v>DÜZCE</v>
      </c>
      <c r="C140" s="467" t="str">
        <f>'YÜKLENİCİ ARAÇLARI'!C143</f>
        <v>EMEL ÖMER ÖNENÇ(otur butur)</v>
      </c>
      <c r="D140" s="467" t="str">
        <f>'YÜKLENİCİ ARAÇLARI'!D143</f>
        <v>81 S 1118</v>
      </c>
      <c r="E140" s="467" t="str">
        <f>'YÜKLENİCİ ARAÇLARI'!E143</f>
        <v>GRŞ/ÇKŞ</v>
      </c>
      <c r="F140" s="467">
        <f>'YÜKLENİCİ ARAÇLARI'!F143</f>
        <v>18</v>
      </c>
      <c r="G140" s="468">
        <f>'YÜKLENİCİ ARAÇLARI'!G143</f>
        <v>4000</v>
      </c>
      <c r="H140" s="468">
        <f>'YÜKLENİCİ ARAÇLARI'!H143</f>
        <v>72000</v>
      </c>
      <c r="I140" s="468">
        <f>'YÜKLENİCİ ARAÇLARI'!I143</f>
        <v>14400</v>
      </c>
      <c r="J140" s="468">
        <f>'YÜKLENİCİ ARAÇLARI'!J143</f>
        <v>86400</v>
      </c>
      <c r="K140" s="468">
        <f>'YÜKLENİCİ ARAÇLARI'!K143</f>
        <v>7200</v>
      </c>
      <c r="L140" s="468">
        <f>'YÜKLENİCİ ARAÇLARI'!L143</f>
        <v>79200</v>
      </c>
    </row>
    <row r="141" spans="1:12" ht="15" thickTop="1" thickBot="1" x14ac:dyDescent="0.3">
      <c r="A141" s="467" t="str">
        <f>'YÜKLENİCİ ARAÇLARI'!A144</f>
        <v>GEDİK DÖKÜM</v>
      </c>
      <c r="B141" s="467" t="str">
        <f>'YÜKLENİCİ ARAÇLARI'!B144</f>
        <v>DÜZCE</v>
      </c>
      <c r="C141" s="467" t="str">
        <f>'YÜKLENİCİ ARAÇLARI'!C144</f>
        <v>EMEL ÖMER ÖNENÇ(otur butur)</v>
      </c>
      <c r="D141" s="467" t="str">
        <f>'YÜKLENİCİ ARAÇLARI'!D144</f>
        <v>81 S 1118</v>
      </c>
      <c r="E141" s="467" t="str">
        <f>'YÜKLENİCİ ARAÇLARI'!E144</f>
        <v>MESAİ</v>
      </c>
      <c r="F141" s="467">
        <f>'YÜKLENİCİ ARAÇLARI'!F144</f>
        <v>0</v>
      </c>
      <c r="G141" s="468">
        <f>'YÜKLENİCİ ARAÇLARI'!G144</f>
        <v>0</v>
      </c>
      <c r="H141" s="469">
        <f>'YÜKLENİCİ ARAÇLARI'!H144</f>
        <v>0</v>
      </c>
      <c r="I141" s="469">
        <f>'YÜKLENİCİ ARAÇLARI'!I144</f>
        <v>0</v>
      </c>
      <c r="J141" s="469">
        <f>'YÜKLENİCİ ARAÇLARI'!J144</f>
        <v>0</v>
      </c>
      <c r="K141" s="469">
        <f>'YÜKLENİCİ ARAÇLARI'!K144</f>
        <v>0</v>
      </c>
      <c r="L141" s="469">
        <f>'YÜKLENİCİ ARAÇLARI'!L144</f>
        <v>0</v>
      </c>
    </row>
    <row r="142" spans="1:12" ht="16.2" thickTop="1" thickBot="1" x14ac:dyDescent="0.3">
      <c r="A142" s="194"/>
      <c r="B142" s="194"/>
      <c r="C142" s="194"/>
      <c r="D142" s="194"/>
      <c r="E142" s="319"/>
      <c r="F142" s="320"/>
      <c r="G142" s="297"/>
      <c r="H142" s="262">
        <f t="shared" ref="H142:L142" si="30">SUM(H140:H141)</f>
        <v>72000</v>
      </c>
      <c r="I142" s="262">
        <f t="shared" si="30"/>
        <v>14400</v>
      </c>
      <c r="J142" s="262">
        <f t="shared" si="30"/>
        <v>86400</v>
      </c>
      <c r="K142" s="262">
        <f t="shared" si="30"/>
        <v>7200</v>
      </c>
      <c r="L142" s="262">
        <f t="shared" si="30"/>
        <v>79200</v>
      </c>
    </row>
    <row r="143" spans="1:12" ht="15.6" thickTop="1" x14ac:dyDescent="0.25">
      <c r="H143" s="281"/>
      <c r="I143" s="281"/>
      <c r="J143" s="281"/>
      <c r="K143" s="281"/>
      <c r="L143" s="281"/>
    </row>
    <row r="144" spans="1:12" ht="20.399999999999999" hidden="1" customHeight="1" thickTop="1" thickBot="1" x14ac:dyDescent="0.35">
      <c r="A144" s="537"/>
      <c r="B144" s="537"/>
      <c r="C144" s="537"/>
      <c r="D144" s="181"/>
    </row>
    <row r="145" spans="1:13" ht="20.399999999999999" hidden="1" customHeight="1" thickBot="1" x14ac:dyDescent="0.35">
      <c r="A145" s="195"/>
      <c r="B145" s="195"/>
      <c r="C145" s="195"/>
      <c r="D145" s="195"/>
      <c r="E145" s="216"/>
      <c r="F145" s="282"/>
      <c r="G145" s="270"/>
      <c r="H145" s="270"/>
      <c r="I145" s="270"/>
      <c r="J145" s="270"/>
      <c r="K145" s="270"/>
      <c r="L145" s="270"/>
    </row>
    <row r="146" spans="1:13" ht="20.399999999999999" hidden="1" customHeight="1" x14ac:dyDescent="0.3">
      <c r="A146" s="195"/>
      <c r="B146" s="195"/>
      <c r="C146" s="195"/>
      <c r="D146" s="195"/>
      <c r="E146" s="216"/>
      <c r="F146" s="282"/>
      <c r="G146" s="270"/>
      <c r="H146" s="270"/>
      <c r="I146" s="270"/>
      <c r="J146" s="270"/>
      <c r="K146" s="270"/>
      <c r="L146" s="270"/>
    </row>
    <row r="147" spans="1:13" ht="15" hidden="1" x14ac:dyDescent="0.25">
      <c r="H147" s="281">
        <v>0</v>
      </c>
      <c r="I147" s="281">
        <v>0</v>
      </c>
      <c r="J147" s="281">
        <v>0</v>
      </c>
      <c r="K147" s="281">
        <v>0</v>
      </c>
      <c r="L147" s="281">
        <v>0</v>
      </c>
    </row>
    <row r="148" spans="1:13" ht="15" x14ac:dyDescent="0.25">
      <c r="H148" s="281"/>
      <c r="I148" s="281"/>
      <c r="J148" s="281"/>
      <c r="K148" s="281"/>
      <c r="L148" s="281"/>
    </row>
    <row r="149" spans="1:13" ht="18" thickBot="1" x14ac:dyDescent="0.35">
      <c r="A149" s="529" t="s">
        <v>109</v>
      </c>
      <c r="B149" s="529"/>
      <c r="C149" s="529"/>
      <c r="D149" s="181"/>
    </row>
    <row r="150" spans="1:13" s="218" customFormat="1" ht="15" thickTop="1" thickBot="1" x14ac:dyDescent="0.3">
      <c r="A150" s="474" t="str">
        <f>'YÜKLENİCİ ARAÇLARI'!A132</f>
        <v>GEDİK DÖKÜM</v>
      </c>
      <c r="B150" s="474" t="str">
        <f>'YÜKLENİCİ ARAÇLARI'!B132</f>
        <v>ADAPAZARI 4/ HAYVAN PAZARI</v>
      </c>
      <c r="C150" s="474" t="str">
        <f>'YÜKLENİCİ ARAÇLARI'!C132</f>
        <v>FEHİM YALÇINKAYA</v>
      </c>
      <c r="D150" s="474" t="str">
        <f>'YÜKLENİCİ ARAÇLARI'!D132</f>
        <v>54 S 2473</v>
      </c>
      <c r="E150" s="474" t="str">
        <f>'YÜKLENİCİ ARAÇLARI'!E132</f>
        <v>GRŞ/ÇKŞ</v>
      </c>
      <c r="F150" s="474">
        <f>'YÜKLENİCİ ARAÇLARI'!F132</f>
        <v>18</v>
      </c>
      <c r="G150" s="475">
        <f>'YÜKLENİCİ ARAÇLARI'!G132</f>
        <v>2800</v>
      </c>
      <c r="H150" s="475">
        <f>'YÜKLENİCİ ARAÇLARI'!H132</f>
        <v>50400</v>
      </c>
      <c r="I150" s="475">
        <f>'YÜKLENİCİ ARAÇLARI'!I132</f>
        <v>10080</v>
      </c>
      <c r="J150" s="475">
        <f>'YÜKLENİCİ ARAÇLARI'!J132</f>
        <v>60480</v>
      </c>
      <c r="K150" s="475">
        <f>'YÜKLENİCİ ARAÇLARI'!K132</f>
        <v>5040</v>
      </c>
      <c r="L150" s="475">
        <f>'YÜKLENİCİ ARAÇLARI'!L132</f>
        <v>55440</v>
      </c>
      <c r="M150" s="218" t="s">
        <v>577</v>
      </c>
    </row>
    <row r="151" spans="1:13" s="218" customFormat="1" ht="13.95" hidden="1" customHeight="1" thickTop="1" thickBot="1" x14ac:dyDescent="0.3">
      <c r="A151" s="216" t="str">
        <f>'YÜKLENİCİ ARAÇLARI'!A133</f>
        <v>GEDİK DÖKÜM</v>
      </c>
      <c r="B151" s="216" t="str">
        <f>'YÜKLENİCİ ARAÇLARI'!B133</f>
        <v>ADAPAZARI 4/ HAYVAN PAZARI</v>
      </c>
      <c r="C151" s="216" t="str">
        <f>'YÜKLENİCİ ARAÇLARI'!C133</f>
        <v>FEHİM YALÇINKAYA</v>
      </c>
      <c r="D151" s="216" t="str">
        <f>'YÜKLENİCİ ARAÇLARI'!D133</f>
        <v>54 S 2473</v>
      </c>
      <c r="E151" s="216" t="str">
        <f>'YÜKLENİCİ ARAÇLARI'!E133</f>
        <v>MESAİ</v>
      </c>
      <c r="F151" s="216">
        <f>'YÜKLENİCİ ARAÇLARI'!F133</f>
        <v>0</v>
      </c>
      <c r="G151" s="217">
        <f>'YÜKLENİCİ ARAÇLARI'!G133</f>
        <v>1750</v>
      </c>
      <c r="H151" s="217">
        <f>'YÜKLENİCİ ARAÇLARI'!H133</f>
        <v>0</v>
      </c>
      <c r="I151" s="217">
        <f>'YÜKLENİCİ ARAÇLARI'!I133</f>
        <v>0</v>
      </c>
      <c r="J151" s="217">
        <f>'YÜKLENİCİ ARAÇLARI'!J133</f>
        <v>0</v>
      </c>
      <c r="K151" s="217">
        <f>'YÜKLENİCİ ARAÇLARI'!K133</f>
        <v>0</v>
      </c>
      <c r="L151" s="217">
        <f>'YÜKLENİCİ ARAÇLARI'!L133</f>
        <v>0</v>
      </c>
    </row>
    <row r="152" spans="1:13" s="218" customFormat="1" ht="15" thickTop="1" thickBot="1" x14ac:dyDescent="0.3">
      <c r="A152" s="467" t="str">
        <f>'YÜKLENİCİ ARAÇLARI'!A207</f>
        <v>TAVSAN</v>
      </c>
      <c r="B152" s="467" t="str">
        <f>'YÜKLENİCİ ARAÇLARI'!B207</f>
        <v>ADAPAZARI/KORUCUK</v>
      </c>
      <c r="C152" s="467" t="str">
        <f>'YÜKLENİCİ ARAÇLARI'!C207</f>
        <v>FEHİM YALÇINKAYA</v>
      </c>
      <c r="D152" s="467">
        <f>'YÜKLENİCİ ARAÇLARI'!D207</f>
        <v>0</v>
      </c>
      <c r="E152" s="467" t="str">
        <f>'YÜKLENİCİ ARAÇLARI'!E207</f>
        <v>GRŞ/ÇIKIŞ</v>
      </c>
      <c r="F152" s="467">
        <f>'YÜKLENİCİ ARAÇLARI'!F207</f>
        <v>25</v>
      </c>
      <c r="G152" s="468">
        <f>'YÜKLENİCİ ARAÇLARI'!G207</f>
        <v>3500</v>
      </c>
      <c r="H152" s="468">
        <f>'YÜKLENİCİ ARAÇLARI'!H207</f>
        <v>87500</v>
      </c>
      <c r="I152" s="468">
        <f>'YÜKLENİCİ ARAÇLARI'!I207</f>
        <v>17500</v>
      </c>
      <c r="J152" s="468">
        <f>'YÜKLENİCİ ARAÇLARI'!J207</f>
        <v>105000</v>
      </c>
      <c r="K152" s="468">
        <f>'YÜKLENİCİ ARAÇLARI'!K207</f>
        <v>8750</v>
      </c>
      <c r="L152" s="468">
        <f>'YÜKLENİCİ ARAÇLARI'!L207</f>
        <v>96250</v>
      </c>
    </row>
    <row r="153" spans="1:13" s="218" customFormat="1" ht="15" thickTop="1" thickBot="1" x14ac:dyDescent="0.3">
      <c r="A153" s="467" t="str">
        <f>'YÜKLENİCİ ARAÇLARI'!A208</f>
        <v>TAVSAN</v>
      </c>
      <c r="B153" s="467" t="str">
        <f>'YÜKLENİCİ ARAÇLARI'!B208</f>
        <v>ADAPAZARI/KORUCUK</v>
      </c>
      <c r="C153" s="467" t="str">
        <f>'YÜKLENİCİ ARAÇLARI'!C208</f>
        <v>FEHİM YALÇINKAYA</v>
      </c>
      <c r="D153" s="467" t="str">
        <f>'YÜKLENİCİ ARAÇLARI'!D208</f>
        <v>KORUCUK</v>
      </c>
      <c r="E153" s="467" t="str">
        <f>'YÜKLENİCİ ARAÇLARI'!E208</f>
        <v xml:space="preserve">VRD </v>
      </c>
      <c r="F153" s="467">
        <f>'YÜKLENİCİ ARAÇLARI'!F208</f>
        <v>29</v>
      </c>
      <c r="G153" s="468">
        <f>'YÜKLENİCİ ARAÇLARI'!G208</f>
        <v>2300</v>
      </c>
      <c r="H153" s="468">
        <f>'YÜKLENİCİ ARAÇLARI'!H208</f>
        <v>66700</v>
      </c>
      <c r="I153" s="468">
        <f>'YÜKLENİCİ ARAÇLARI'!I208</f>
        <v>13340</v>
      </c>
      <c r="J153" s="468">
        <f>'YÜKLENİCİ ARAÇLARI'!J208</f>
        <v>80040</v>
      </c>
      <c r="K153" s="468">
        <f>'YÜKLENİCİ ARAÇLARI'!K208</f>
        <v>6670</v>
      </c>
      <c r="L153" s="468">
        <f>'YÜKLENİCİ ARAÇLARI'!L208</f>
        <v>73370</v>
      </c>
    </row>
    <row r="154" spans="1:13" s="218" customFormat="1" ht="15" thickTop="1" thickBot="1" x14ac:dyDescent="0.3">
      <c r="A154" s="467" t="str">
        <f>'YÜKLENİCİ ARAÇLARI'!A209</f>
        <v>TAVSAN</v>
      </c>
      <c r="B154" s="467" t="str">
        <f>'YÜKLENİCİ ARAÇLARI'!B209</f>
        <v>ADAPAZARI/KORUCUK</v>
      </c>
      <c r="C154" s="467" t="str">
        <f>'YÜKLENİCİ ARAÇLARI'!C209</f>
        <v>FEHİM YALÇINKAYA</v>
      </c>
      <c r="D154" s="467" t="str">
        <f>'YÜKLENİCİ ARAÇLARI'!D209</f>
        <v>KORUCUK</v>
      </c>
      <c r="E154" s="467" t="str">
        <f>'YÜKLENİCİ ARAÇLARI'!E209</f>
        <v>MESAİ</v>
      </c>
      <c r="F154" s="467">
        <f>'YÜKLENİCİ ARAÇLARI'!F209</f>
        <v>9</v>
      </c>
      <c r="G154" s="468">
        <f>'YÜKLENİCİ ARAÇLARI'!G209</f>
        <v>2300</v>
      </c>
      <c r="H154" s="468">
        <f>'YÜKLENİCİ ARAÇLARI'!H209</f>
        <v>20700</v>
      </c>
      <c r="I154" s="468">
        <f>'YÜKLENİCİ ARAÇLARI'!I209</f>
        <v>4140</v>
      </c>
      <c r="J154" s="468">
        <f>'YÜKLENİCİ ARAÇLARI'!J209</f>
        <v>24840</v>
      </c>
      <c r="K154" s="468">
        <f>'YÜKLENİCİ ARAÇLARI'!K209</f>
        <v>2070</v>
      </c>
      <c r="L154" s="468">
        <f>'YÜKLENİCİ ARAÇLARI'!L209</f>
        <v>22770</v>
      </c>
    </row>
    <row r="155" spans="1:13" s="218" customFormat="1" ht="15" hidden="1" thickTop="1" thickBot="1" x14ac:dyDescent="0.3">
      <c r="A155" s="216" t="str">
        <f>'YÜKLENİCİ ARAÇLARI'!A210</f>
        <v>TAVSAN</v>
      </c>
      <c r="B155" s="216" t="str">
        <f>'YÜKLENİCİ ARAÇLARI'!B210</f>
        <v>ADAPAZARI/</v>
      </c>
      <c r="C155" s="216" t="str">
        <f>'YÜKLENİCİ ARAÇLARI'!C210</f>
        <v>FEHİM YALÇINKAYA</v>
      </c>
      <c r="D155" s="216" t="str">
        <f>'YÜKLENİCİ ARAÇLARI'!D210</f>
        <v>KORUCUK</v>
      </c>
      <c r="E155" s="216" t="str">
        <f>'YÜKLENİCİ ARAÇLARI'!E210</f>
        <v>VRD ÇIKIŞ</v>
      </c>
      <c r="F155" s="216">
        <f>'YÜKLENİCİ ARAÇLARI'!F210</f>
        <v>0</v>
      </c>
      <c r="G155" s="217">
        <f>'YÜKLENİCİ ARAÇLARI'!G210</f>
        <v>1800</v>
      </c>
      <c r="H155" s="217">
        <f>'YÜKLENİCİ ARAÇLARI'!H210</f>
        <v>0</v>
      </c>
      <c r="I155" s="217">
        <f>'YÜKLENİCİ ARAÇLARI'!I210</f>
        <v>0</v>
      </c>
      <c r="J155" s="217">
        <f>'YÜKLENİCİ ARAÇLARI'!J210</f>
        <v>0</v>
      </c>
      <c r="K155" s="217">
        <f>'YÜKLENİCİ ARAÇLARI'!K210</f>
        <v>0</v>
      </c>
      <c r="L155" s="217">
        <f>'YÜKLENİCİ ARAÇLARI'!L210</f>
        <v>0</v>
      </c>
    </row>
    <row r="156" spans="1:13" s="218" customFormat="1" ht="15" thickTop="1" thickBot="1" x14ac:dyDescent="0.3">
      <c r="A156" s="467" t="str">
        <f>'YÜKLENİCİ ARAÇLARI'!A211</f>
        <v>TAVSAN</v>
      </c>
      <c r="B156" s="467" t="str">
        <f>'YÜKLENİCİ ARAÇLARI'!B211</f>
        <v>ADAPAZARI /1/</v>
      </c>
      <c r="C156" s="467" t="str">
        <f>'YÜKLENİCİ ARAÇLARI'!C211</f>
        <v>FEHİM YALÇINKAYA</v>
      </c>
      <c r="D156" s="467" t="str">
        <f>'YÜKLENİCİ ARAÇLARI'!D211</f>
        <v>ADP</v>
      </c>
      <c r="E156" s="467" t="str">
        <f>'YÜKLENİCİ ARAÇLARI'!E211</f>
        <v>GRŞ/ÇIKIŞ</v>
      </c>
      <c r="F156" s="467">
        <f>'YÜKLENİCİ ARAÇLARI'!F211</f>
        <v>21</v>
      </c>
      <c r="G156" s="468">
        <f>'YÜKLENİCİ ARAÇLARI'!G211</f>
        <v>2800</v>
      </c>
      <c r="H156" s="468">
        <f>'YÜKLENİCİ ARAÇLARI'!H211</f>
        <v>58800</v>
      </c>
      <c r="I156" s="468">
        <f>'YÜKLENİCİ ARAÇLARI'!I211</f>
        <v>11760</v>
      </c>
      <c r="J156" s="468">
        <f>'YÜKLENİCİ ARAÇLARI'!J211</f>
        <v>70560</v>
      </c>
      <c r="K156" s="468">
        <f>'YÜKLENİCİ ARAÇLARI'!K211</f>
        <v>5880</v>
      </c>
      <c r="L156" s="468">
        <f>'YÜKLENİCİ ARAÇLARI'!L211</f>
        <v>64680</v>
      </c>
    </row>
    <row r="157" spans="1:13" s="218" customFormat="1" ht="15" thickTop="1" thickBot="1" x14ac:dyDescent="0.3">
      <c r="A157" s="467" t="str">
        <f>'YÜKLENİCİ ARAÇLARI'!A212</f>
        <v>TAVSAN</v>
      </c>
      <c r="B157" s="467" t="str">
        <f>'YÜKLENİCİ ARAÇLARI'!B212</f>
        <v>ADAPAZARI /2/</v>
      </c>
      <c r="C157" s="467" t="str">
        <f>'YÜKLENİCİ ARAÇLARI'!C212</f>
        <v>FEHİM YALÇINKAYA</v>
      </c>
      <c r="D157" s="467" t="str">
        <f>'YÜKLENİCİ ARAÇLARI'!D212</f>
        <v>ADP</v>
      </c>
      <c r="E157" s="467" t="str">
        <f>'YÜKLENİCİ ARAÇLARI'!E212</f>
        <v>GRŞ/ÇIKIŞ</v>
      </c>
      <c r="F157" s="467">
        <f>'YÜKLENİCİ ARAÇLARI'!F212</f>
        <v>22</v>
      </c>
      <c r="G157" s="468">
        <f>'YÜKLENİCİ ARAÇLARI'!G212</f>
        <v>2800</v>
      </c>
      <c r="H157" s="468">
        <f>'YÜKLENİCİ ARAÇLARI'!H212</f>
        <v>61600</v>
      </c>
      <c r="I157" s="468">
        <f>'YÜKLENİCİ ARAÇLARI'!I212</f>
        <v>12320</v>
      </c>
      <c r="J157" s="468">
        <f>'YÜKLENİCİ ARAÇLARI'!J212</f>
        <v>73920</v>
      </c>
      <c r="K157" s="468">
        <f>'YÜKLENİCİ ARAÇLARI'!K212</f>
        <v>6160</v>
      </c>
      <c r="L157" s="468">
        <f>'YÜKLENİCİ ARAÇLARI'!L212</f>
        <v>67760</v>
      </c>
    </row>
    <row r="158" spans="1:13" s="218" customFormat="1" ht="16.95" customHeight="1" thickTop="1" thickBot="1" x14ac:dyDescent="0.3">
      <c r="A158" s="467" t="str">
        <f>'YÜKLENİCİ ARAÇLARI'!A214</f>
        <v>TAVSAN</v>
      </c>
      <c r="B158" s="467" t="str">
        <f>'YÜKLENİCİ ARAÇLARI'!B214</f>
        <v>HENDEK 1</v>
      </c>
      <c r="C158" s="467" t="str">
        <f>'YÜKLENİCİ ARAÇLARI'!C214</f>
        <v>FEHİM YALÇINKAYA</v>
      </c>
      <c r="D158" s="467" t="str">
        <f>'YÜKLENİCİ ARAÇLARI'!D214</f>
        <v>SABAH</v>
      </c>
      <c r="E158" s="467" t="str">
        <f>'YÜKLENİCİ ARAÇLARI'!E214</f>
        <v>TEK</v>
      </c>
      <c r="F158" s="467">
        <f>'YÜKLENİCİ ARAÇLARI'!F214</f>
        <v>18</v>
      </c>
      <c r="G158" s="468">
        <f>'YÜKLENİCİ ARAÇLARI'!G214</f>
        <v>900</v>
      </c>
      <c r="H158" s="468">
        <f>'YÜKLENİCİ ARAÇLARI'!H214</f>
        <v>16200</v>
      </c>
      <c r="I158" s="468">
        <f>'YÜKLENİCİ ARAÇLARI'!I214</f>
        <v>3240</v>
      </c>
      <c r="J158" s="468">
        <f>'YÜKLENİCİ ARAÇLARI'!J214</f>
        <v>19440</v>
      </c>
      <c r="K158" s="468">
        <f>'YÜKLENİCİ ARAÇLARI'!K214</f>
        <v>1620</v>
      </c>
      <c r="L158" s="468">
        <f>'YÜKLENİCİ ARAÇLARI'!L214</f>
        <v>17820</v>
      </c>
    </row>
    <row r="159" spans="1:13" s="218" customFormat="1" ht="15" thickTop="1" thickBot="1" x14ac:dyDescent="0.3">
      <c r="A159" s="467" t="str">
        <f>'YÜKLENİCİ ARAÇLARI'!A215</f>
        <v>TAVSAN</v>
      </c>
      <c r="B159" s="467" t="str">
        <f>'YÜKLENİCİ ARAÇLARI'!B215</f>
        <v>HENDEK 1</v>
      </c>
      <c r="C159" s="467" t="str">
        <f>'YÜKLENİCİ ARAÇLARI'!C215</f>
        <v>FEHİM YALÇINKAYA</v>
      </c>
      <c r="D159" s="467" t="str">
        <f>'YÜKLENİCİ ARAÇLARI'!D215</f>
        <v>CUMA</v>
      </c>
      <c r="E159" s="467" t="str">
        <f>'YÜKLENİCİ ARAÇLARI'!E215</f>
        <v>CUMA</v>
      </c>
      <c r="F159" s="467">
        <f>'YÜKLENİCİ ARAÇLARI'!F215</f>
        <v>3</v>
      </c>
      <c r="G159" s="468">
        <f>'YÜKLENİCİ ARAÇLARI'!G215</f>
        <v>1000</v>
      </c>
      <c r="H159" s="468">
        <f>'YÜKLENİCİ ARAÇLARI'!H215</f>
        <v>3000</v>
      </c>
      <c r="I159" s="468">
        <f>'YÜKLENİCİ ARAÇLARI'!I215</f>
        <v>600</v>
      </c>
      <c r="J159" s="468">
        <f>'YÜKLENİCİ ARAÇLARI'!J215</f>
        <v>3600</v>
      </c>
      <c r="K159" s="468">
        <f>'YÜKLENİCİ ARAÇLARI'!K215</f>
        <v>300</v>
      </c>
      <c r="L159" s="468">
        <f>'YÜKLENİCİ ARAÇLARI'!L215</f>
        <v>3300</v>
      </c>
    </row>
    <row r="160" spans="1:13" s="218" customFormat="1" ht="15" thickTop="1" thickBot="1" x14ac:dyDescent="0.3">
      <c r="A160" s="467"/>
      <c r="B160" s="467" t="str">
        <f>'YÜKLENİCİ ARAÇLARI'!B145</f>
        <v>YASİNİN YERİNE 1 ÇIKIŞ</v>
      </c>
      <c r="C160" s="467" t="str">
        <f>'YÜKLENİCİ ARAÇLARI'!C145</f>
        <v>FEHİM YALÇINKAYA</v>
      </c>
      <c r="D160" s="467">
        <f>'YÜKLENİCİ ARAÇLARI'!D145</f>
        <v>0</v>
      </c>
      <c r="E160" s="467" t="str">
        <f>'YÜKLENİCİ ARAÇLARI'!E145</f>
        <v>ÇIKIŞ</v>
      </c>
      <c r="F160" s="467">
        <f>'YÜKLENİCİ ARAÇLARI'!F145</f>
        <v>0</v>
      </c>
      <c r="G160" s="468">
        <f>'YÜKLENİCİ ARAÇLARI'!G145</f>
        <v>1400</v>
      </c>
      <c r="H160" s="469">
        <f>'YÜKLENİCİ ARAÇLARI'!H145</f>
        <v>0</v>
      </c>
      <c r="I160" s="469">
        <f>'YÜKLENİCİ ARAÇLARI'!I145</f>
        <v>0</v>
      </c>
      <c r="J160" s="469">
        <f>'YÜKLENİCİ ARAÇLARI'!J145</f>
        <v>0</v>
      </c>
      <c r="K160" s="469">
        <f>'YÜKLENİCİ ARAÇLARI'!K145</f>
        <v>0</v>
      </c>
      <c r="L160" s="469">
        <f>'YÜKLENİCİ ARAÇLARI'!L145</f>
        <v>0</v>
      </c>
    </row>
    <row r="161" spans="1:12" ht="16.2" thickTop="1" thickBot="1" x14ac:dyDescent="0.3">
      <c r="H161" s="263">
        <f>SUM(H150:H160)</f>
        <v>364900</v>
      </c>
      <c r="I161" s="263">
        <f t="shared" ref="I161:L161" si="31">SUM(I150:I160)</f>
        <v>72980</v>
      </c>
      <c r="J161" s="263">
        <f t="shared" si="31"/>
        <v>437880</v>
      </c>
      <c r="K161" s="263">
        <f t="shared" si="31"/>
        <v>36490</v>
      </c>
      <c r="L161" s="263">
        <f t="shared" si="31"/>
        <v>401390</v>
      </c>
    </row>
    <row r="162" spans="1:12" ht="15.6" thickTop="1" x14ac:dyDescent="0.25">
      <c r="H162" s="281"/>
      <c r="I162" s="281"/>
      <c r="J162" s="281"/>
      <c r="K162" s="281"/>
      <c r="L162" s="281"/>
    </row>
    <row r="163" spans="1:12" ht="18" thickBot="1" x14ac:dyDescent="0.35">
      <c r="A163" s="529" t="s">
        <v>495</v>
      </c>
      <c r="B163" s="529"/>
      <c r="C163" s="529"/>
      <c r="D163" s="181"/>
    </row>
    <row r="164" spans="1:12" ht="15" thickTop="1" thickBot="1" x14ac:dyDescent="0.3">
      <c r="A164" s="467" t="str">
        <f>'YÜKLENİCİ ARAÇLARI'!A295</f>
        <v>ISILSAN</v>
      </c>
      <c r="B164" s="467" t="str">
        <f>'YÜKLENİCİ ARAÇLARI'!B295</f>
        <v>KAVAKLI ORMAN</v>
      </c>
      <c r="C164" s="467" t="str">
        <f>'YÜKLENİCİ ARAÇLARI'!C295</f>
        <v>FEDAİ AKTAŞ</v>
      </c>
      <c r="D164" s="171">
        <f>'YÜKLENİCİ ARAÇLARI'!D295</f>
        <v>0</v>
      </c>
      <c r="E164" s="467" t="str">
        <f>'YÜKLENİCİ ARAÇLARI'!E295</f>
        <v>GRŞ/ÇIK</v>
      </c>
      <c r="F164" s="467">
        <f>'YÜKLENİCİ ARAÇLARI'!F295</f>
        <v>20</v>
      </c>
      <c r="G164" s="468">
        <f>'YÜKLENİCİ ARAÇLARI'!G295</f>
        <v>2700</v>
      </c>
      <c r="H164" s="469">
        <f>'YÜKLENİCİ ARAÇLARI'!H295</f>
        <v>54000</v>
      </c>
      <c r="I164" s="469">
        <f>'YÜKLENİCİ ARAÇLARI'!I295</f>
        <v>10800</v>
      </c>
      <c r="J164" s="469">
        <f>'YÜKLENİCİ ARAÇLARI'!J295</f>
        <v>64800</v>
      </c>
      <c r="K164" s="469">
        <f>'YÜKLENİCİ ARAÇLARI'!K295</f>
        <v>5400</v>
      </c>
      <c r="L164" s="469">
        <f>'YÜKLENİCİ ARAÇLARI'!L295</f>
        <v>59400</v>
      </c>
    </row>
    <row r="165" spans="1:12" ht="16.2" thickTop="1" thickBot="1" x14ac:dyDescent="0.3">
      <c r="A165" s="194"/>
      <c r="B165" s="194"/>
      <c r="C165" s="194"/>
      <c r="D165" s="194"/>
      <c r="E165" s="319"/>
      <c r="F165" s="320"/>
      <c r="G165" s="297"/>
      <c r="H165" s="262">
        <f>SUM(H164:H164)</f>
        <v>54000</v>
      </c>
      <c r="I165" s="262">
        <f>SUM(I164:I164)</f>
        <v>10800</v>
      </c>
      <c r="J165" s="262">
        <f>SUM(J164:J164)</f>
        <v>64800</v>
      </c>
      <c r="K165" s="262">
        <f>SUM(K164:K164)</f>
        <v>5400</v>
      </c>
      <c r="L165" s="262">
        <f>SUM(L164:L164)</f>
        <v>59400</v>
      </c>
    </row>
    <row r="166" spans="1:12" ht="14.4" thickTop="1" x14ac:dyDescent="0.25"/>
    <row r="167" spans="1:12" ht="19.2" customHeight="1" thickBot="1" x14ac:dyDescent="0.35">
      <c r="A167" s="529" t="s">
        <v>486</v>
      </c>
      <c r="B167" s="529"/>
      <c r="C167" s="529"/>
      <c r="D167" s="181"/>
    </row>
    <row r="168" spans="1:12" ht="18.600000000000001" customHeight="1" thickTop="1" thickBot="1" x14ac:dyDescent="0.3">
      <c r="A168" s="467" t="str">
        <f>'YÜKLENİCİ ARAÇLARI'!A26</f>
        <v>BAŞAK TRAKTÖR</v>
      </c>
      <c r="B168" s="467" t="str">
        <f>'YÜKLENİCİ ARAÇLARI'!B26</f>
        <v>AKYAZI</v>
      </c>
      <c r="C168" s="467" t="str">
        <f>'YÜKLENİCİ ARAÇLARI'!C26</f>
        <v>GÖKHAN IŞIK</v>
      </c>
      <c r="D168" s="467"/>
      <c r="E168" s="467" t="str">
        <f>'YÜKLENİCİ ARAÇLARI'!E26</f>
        <v>GRŞ/ÇKŞ</v>
      </c>
      <c r="F168" s="467">
        <f>'YÜKLENİCİ ARAÇLARI'!F26</f>
        <v>17</v>
      </c>
      <c r="G168" s="468">
        <f>'YÜKLENİCİ ARAÇLARI'!G26</f>
        <v>2500</v>
      </c>
      <c r="H168" s="468">
        <f>'YÜKLENİCİ ARAÇLARI'!H26</f>
        <v>42500</v>
      </c>
      <c r="I168" s="468">
        <f>'YÜKLENİCİ ARAÇLARI'!I26</f>
        <v>8500</v>
      </c>
      <c r="J168" s="468">
        <f>'YÜKLENİCİ ARAÇLARI'!J26</f>
        <v>51000</v>
      </c>
      <c r="K168" s="468">
        <f>'YÜKLENİCİ ARAÇLARI'!K26</f>
        <v>4250</v>
      </c>
      <c r="L168" s="468">
        <f>'YÜKLENİCİ ARAÇLARI'!L26</f>
        <v>46750</v>
      </c>
    </row>
    <row r="169" spans="1:12" ht="15" thickTop="1" thickBot="1" x14ac:dyDescent="0.3">
      <c r="A169" s="467" t="str">
        <f>'YÜKLENİCİ ARAÇLARI'!A27</f>
        <v>BAŞAK TRAKTÖR</v>
      </c>
      <c r="B169" s="467" t="str">
        <f>'YÜKLENİCİ ARAÇLARI'!B27</f>
        <v>AKYAZI MESAİ</v>
      </c>
      <c r="C169" s="467" t="str">
        <f>'YÜKLENİCİ ARAÇLARI'!C27</f>
        <v>GÖKHAN IŞIK</v>
      </c>
      <c r="D169" s="467"/>
      <c r="E169" s="467" t="str">
        <f>'YÜKLENİCİ ARAÇLARI'!E27</f>
        <v>MESAİ</v>
      </c>
      <c r="F169" s="467">
        <f>'YÜKLENİCİ ARAÇLARI'!F27</f>
        <v>0</v>
      </c>
      <c r="G169" s="468">
        <f>'YÜKLENİCİ ARAÇLARI'!G27</f>
        <v>0</v>
      </c>
      <c r="H169" s="468">
        <f>'YÜKLENİCİ ARAÇLARI'!H27</f>
        <v>0</v>
      </c>
      <c r="I169" s="468">
        <f>'YÜKLENİCİ ARAÇLARI'!I27</f>
        <v>0</v>
      </c>
      <c r="J169" s="468">
        <f>'YÜKLENİCİ ARAÇLARI'!J27</f>
        <v>0</v>
      </c>
      <c r="K169" s="468">
        <f>'YÜKLENİCİ ARAÇLARI'!K27</f>
        <v>0</v>
      </c>
      <c r="L169" s="468">
        <f>'YÜKLENİCİ ARAÇLARI'!L27</f>
        <v>0</v>
      </c>
    </row>
    <row r="170" spans="1:12" ht="15" hidden="1" thickTop="1" thickBot="1" x14ac:dyDescent="0.3">
      <c r="A170" s="467"/>
      <c r="B170" s="467"/>
      <c r="C170" s="467"/>
      <c r="D170" s="467"/>
      <c r="E170" s="467"/>
      <c r="F170" s="467"/>
      <c r="G170" s="468"/>
      <c r="H170" s="468"/>
      <c r="I170" s="468"/>
      <c r="J170" s="468"/>
      <c r="K170" s="468"/>
      <c r="L170" s="468"/>
    </row>
    <row r="171" spans="1:12" ht="15" thickTop="1" thickBot="1" x14ac:dyDescent="0.3">
      <c r="A171" s="467" t="str">
        <f>'YÜKLENİCİ ARAÇLARI'!A39</f>
        <v>BAŞAK TRAKTÖR</v>
      </c>
      <c r="B171" s="467" t="str">
        <f>'YÜKLENİCİ ARAÇLARI'!B39</f>
        <v>AKYAZI/2</v>
      </c>
      <c r="C171" s="467" t="str">
        <f>'YÜKLENİCİ ARAÇLARI'!C39</f>
        <v>GÖKHAN IŞIK</v>
      </c>
      <c r="D171" s="467"/>
      <c r="E171" s="467" t="str">
        <f>'YÜKLENİCİ ARAÇLARI'!E39</f>
        <v>GRŞ/ÇKŞ</v>
      </c>
      <c r="F171" s="467">
        <f>'YÜKLENİCİ ARAÇLARI'!F39</f>
        <v>14</v>
      </c>
      <c r="G171" s="468">
        <f>'YÜKLENİCİ ARAÇLARI'!G39</f>
        <v>2500</v>
      </c>
      <c r="H171" s="468">
        <f>'YÜKLENİCİ ARAÇLARI'!H39</f>
        <v>35000</v>
      </c>
      <c r="I171" s="468">
        <f>'YÜKLENİCİ ARAÇLARI'!I39</f>
        <v>7000</v>
      </c>
      <c r="J171" s="468">
        <f>'YÜKLENİCİ ARAÇLARI'!J39</f>
        <v>42000</v>
      </c>
      <c r="K171" s="468">
        <f>'YÜKLENİCİ ARAÇLARI'!K39</f>
        <v>3500</v>
      </c>
      <c r="L171" s="468">
        <f>'YÜKLENİCİ ARAÇLARI'!L39</f>
        <v>38500</v>
      </c>
    </row>
    <row r="172" spans="1:12" ht="15" hidden="1" thickTop="1" thickBot="1" x14ac:dyDescent="0.3">
      <c r="A172" s="171" t="str">
        <f>'YÜKLENİCİ ARAÇLARI'!A40</f>
        <v>BAŞAK TRAKTÖR</v>
      </c>
      <c r="B172" s="171" t="str">
        <f>'YÜKLENİCİ ARAÇLARI'!B40</f>
        <v>ÇATALKÖPRÜ/AKYAZI MESAİ</v>
      </c>
      <c r="C172" s="171" t="str">
        <f>'YÜKLENİCİ ARAÇLARI'!C40</f>
        <v>GÖKHAN IŞIK</v>
      </c>
      <c r="D172" s="171"/>
      <c r="E172" s="216" t="str">
        <f>'YÜKLENİCİ ARAÇLARI'!E40</f>
        <v>MESAİ</v>
      </c>
      <c r="F172" s="216">
        <f>'YÜKLENİCİ ARAÇLARI'!F40</f>
        <v>0</v>
      </c>
      <c r="G172" s="217">
        <f>'YÜKLENİCİ ARAÇLARI'!G40</f>
        <v>0</v>
      </c>
      <c r="H172" s="217">
        <f>'YÜKLENİCİ ARAÇLARI'!H40</f>
        <v>0</v>
      </c>
      <c r="I172" s="217">
        <f>'YÜKLENİCİ ARAÇLARI'!I40</f>
        <v>0</v>
      </c>
      <c r="J172" s="217">
        <f>'YÜKLENİCİ ARAÇLARI'!J40</f>
        <v>0</v>
      </c>
      <c r="K172" s="217">
        <f>'YÜKLENİCİ ARAÇLARI'!K40</f>
        <v>0</v>
      </c>
      <c r="L172" s="217">
        <f>'YÜKLENİCİ ARAÇLARI'!L40</f>
        <v>0</v>
      </c>
    </row>
    <row r="173" spans="1:12" ht="15" thickTop="1" thickBot="1" x14ac:dyDescent="0.3">
      <c r="A173" s="467" t="str">
        <f>'YÜKLENİCİ ARAÇLARI'!A100</f>
        <v>ALYAN GIDA</v>
      </c>
      <c r="B173" s="467" t="str">
        <f>'YÜKLENİCİ ARAÇLARI'!B100</f>
        <v>AKYAZI</v>
      </c>
      <c r="C173" s="467" t="str">
        <f>'YÜKLENİCİ ARAÇLARI'!C100</f>
        <v>GÖKHAN IŞIK</v>
      </c>
      <c r="D173" s="467" t="str">
        <f>'YÜKLENİCİ ARAÇLARI'!D100</f>
        <v>54 S 2889</v>
      </c>
      <c r="E173" s="467" t="str">
        <f>'YÜKLENİCİ ARAÇLARI'!E100</f>
        <v>ÇİFT</v>
      </c>
      <c r="F173" s="467">
        <f>'YÜKLENİCİ ARAÇLARI'!F100</f>
        <v>45</v>
      </c>
      <c r="G173" s="468">
        <f>'YÜKLENİCİ ARAÇLARI'!G100</f>
        <v>1250</v>
      </c>
      <c r="H173" s="468">
        <f>'YÜKLENİCİ ARAÇLARI'!H100</f>
        <v>56250</v>
      </c>
      <c r="I173" s="468">
        <f>'YÜKLENİCİ ARAÇLARI'!I100</f>
        <v>11250</v>
      </c>
      <c r="J173" s="468">
        <f>'YÜKLENİCİ ARAÇLARI'!J100</f>
        <v>67500</v>
      </c>
      <c r="K173" s="468">
        <f>'YÜKLENİCİ ARAÇLARI'!K100</f>
        <v>5625</v>
      </c>
      <c r="L173" s="468">
        <f>'YÜKLENİCİ ARAÇLARI'!L100</f>
        <v>61875</v>
      </c>
    </row>
    <row r="174" spans="1:12" ht="15" thickTop="1" thickBot="1" x14ac:dyDescent="0.3">
      <c r="A174" s="467" t="str">
        <f>'YÜKLENİCİ ARAÇLARI'!A101</f>
        <v>ALYAN GIDA</v>
      </c>
      <c r="B174" s="467" t="str">
        <f>'YÜKLENİCİ ARAÇLARI'!B101</f>
        <v>AKYAZI</v>
      </c>
      <c r="C174" s="467" t="str">
        <f>'YÜKLENİCİ ARAÇLARI'!C101</f>
        <v>GÖKHAN IŞIK</v>
      </c>
      <c r="D174" s="467" t="str">
        <f>'YÜKLENİCİ ARAÇLARI'!D101</f>
        <v>54 S 2889</v>
      </c>
      <c r="E174" s="467" t="str">
        <f>'YÜKLENİCİ ARAÇLARI'!E101</f>
        <v>TEK</v>
      </c>
      <c r="F174" s="467">
        <f>'YÜKLENİCİ ARAÇLARI'!F101</f>
        <v>13</v>
      </c>
      <c r="G174" s="468">
        <f>'YÜKLENİCİ ARAÇLARI'!G101</f>
        <v>1175</v>
      </c>
      <c r="H174" s="468">
        <f>'YÜKLENİCİ ARAÇLARI'!H101</f>
        <v>15275</v>
      </c>
      <c r="I174" s="468">
        <f>'YÜKLENİCİ ARAÇLARI'!I101</f>
        <v>3055</v>
      </c>
      <c r="J174" s="468">
        <f>'YÜKLENİCİ ARAÇLARI'!J101</f>
        <v>18330</v>
      </c>
      <c r="K174" s="468">
        <f>'YÜKLENİCİ ARAÇLARI'!K101</f>
        <v>1527.5</v>
      </c>
      <c r="L174" s="468">
        <f>'YÜKLENİCİ ARAÇLARI'!L101</f>
        <v>16802.5</v>
      </c>
    </row>
    <row r="175" spans="1:12" ht="15" thickTop="1" thickBot="1" x14ac:dyDescent="0.3">
      <c r="A175" s="467" t="str">
        <f>'YÜKLENİCİ ARAÇLARI'!A141</f>
        <v>GEDİK DÖKÜM</v>
      </c>
      <c r="B175" s="467" t="str">
        <f>'YÜKLENİCİ ARAÇLARI'!B141</f>
        <v>AKYAZI SU KENARI</v>
      </c>
      <c r="C175" s="467" t="str">
        <f>'YÜKLENİCİ ARAÇLARI'!C141</f>
        <v>GÖKHAN IŞIK</v>
      </c>
      <c r="D175" s="467" t="str">
        <f>'YÜKLENİCİ ARAÇLARI'!D141</f>
        <v>54 S 1392</v>
      </c>
      <c r="E175" s="467" t="str">
        <f>'YÜKLENİCİ ARAÇLARI'!E141</f>
        <v>GRŞ/ÇKŞ</v>
      </c>
      <c r="F175" s="467">
        <f>'YÜKLENİCİ ARAÇLARI'!F141</f>
        <v>21</v>
      </c>
      <c r="G175" s="468">
        <f>'YÜKLENİCİ ARAÇLARI'!G141</f>
        <v>2500</v>
      </c>
      <c r="H175" s="468">
        <f>'YÜKLENİCİ ARAÇLARI'!H141</f>
        <v>52500</v>
      </c>
      <c r="I175" s="468">
        <f>'YÜKLENİCİ ARAÇLARI'!I141</f>
        <v>10500</v>
      </c>
      <c r="J175" s="468">
        <f>'YÜKLENİCİ ARAÇLARI'!J141</f>
        <v>63000</v>
      </c>
      <c r="K175" s="468">
        <f>'YÜKLENİCİ ARAÇLARI'!K141</f>
        <v>5250</v>
      </c>
      <c r="L175" s="468">
        <f>'YÜKLENİCİ ARAÇLARI'!L141</f>
        <v>57750</v>
      </c>
    </row>
    <row r="176" spans="1:12" ht="15" thickTop="1" thickBot="1" x14ac:dyDescent="0.3">
      <c r="A176" s="467" t="str">
        <f>'YÜKLENİCİ ARAÇLARI'!A142</f>
        <v>GEDİK DÖKÜM</v>
      </c>
      <c r="B176" s="467" t="str">
        <f>'YÜKLENİCİ ARAÇLARI'!B142</f>
        <v>AKYAZI SU KENARI</v>
      </c>
      <c r="C176" s="467" t="str">
        <f>'YÜKLENİCİ ARAÇLARI'!C142</f>
        <v>GÖKHAN IŞIK</v>
      </c>
      <c r="D176" s="467" t="str">
        <f>'YÜKLENİCİ ARAÇLARI'!D142</f>
        <v>54 S 1392</v>
      </c>
      <c r="E176" s="467" t="str">
        <f>'YÜKLENİCİ ARAÇLARI'!E142</f>
        <v>MESAİ</v>
      </c>
      <c r="F176" s="467">
        <f>'YÜKLENİCİ ARAÇLARI'!F142</f>
        <v>1</v>
      </c>
      <c r="G176" s="468">
        <f>'YÜKLENİCİ ARAÇLARI'!G142</f>
        <v>1450</v>
      </c>
      <c r="H176" s="468">
        <f>'YÜKLENİCİ ARAÇLARI'!H142</f>
        <v>1450</v>
      </c>
      <c r="I176" s="468">
        <f>'YÜKLENİCİ ARAÇLARI'!I142</f>
        <v>290</v>
      </c>
      <c r="J176" s="468">
        <f>'YÜKLENİCİ ARAÇLARI'!J142</f>
        <v>1740</v>
      </c>
      <c r="K176" s="468">
        <f>'YÜKLENİCİ ARAÇLARI'!K142</f>
        <v>145</v>
      </c>
      <c r="L176" s="468">
        <f>'YÜKLENİCİ ARAÇLARI'!L142</f>
        <v>1595</v>
      </c>
    </row>
    <row r="177" spans="1:12" ht="15" thickTop="1" thickBot="1" x14ac:dyDescent="0.3">
      <c r="A177" s="467" t="str">
        <f>'YÜKLENİCİ ARAÇLARI'!A153</f>
        <v>GEDİK KAYNAK</v>
      </c>
      <c r="B177" s="467" t="str">
        <f>'YÜKLENİCİ ARAÇLARI'!B153</f>
        <v>AKYAZI 2/KUZULUK O.BEY</v>
      </c>
      <c r="C177" s="467" t="str">
        <f>'YÜKLENİCİ ARAÇLARI'!C153</f>
        <v>GÖKHAN IŞIK</v>
      </c>
      <c r="D177" s="467">
        <f>'YÜKLENİCİ ARAÇLARI'!D153</f>
        <v>0</v>
      </c>
      <c r="E177" s="467" t="str">
        <f>'YÜKLENİCİ ARAÇLARI'!E153</f>
        <v>VRD</v>
      </c>
      <c r="F177" s="467">
        <f>'YÜKLENİCİ ARAÇLARI'!F153</f>
        <v>127</v>
      </c>
      <c r="G177" s="468">
        <f>'YÜKLENİCİ ARAÇLARI'!G153</f>
        <v>860</v>
      </c>
      <c r="H177" s="468">
        <f>'YÜKLENİCİ ARAÇLARI'!H153</f>
        <v>109220</v>
      </c>
      <c r="I177" s="468">
        <f>'YÜKLENİCİ ARAÇLARI'!I153</f>
        <v>21844</v>
      </c>
      <c r="J177" s="468">
        <f>'YÜKLENİCİ ARAÇLARI'!J153</f>
        <v>131064</v>
      </c>
      <c r="K177" s="468">
        <f>'YÜKLENİCİ ARAÇLARI'!K153</f>
        <v>10922</v>
      </c>
      <c r="L177" s="468">
        <f>'YÜKLENİCİ ARAÇLARI'!L153</f>
        <v>120142</v>
      </c>
    </row>
    <row r="178" spans="1:12" ht="15" hidden="1" thickTop="1" thickBot="1" x14ac:dyDescent="0.3">
      <c r="A178" s="171" t="str">
        <f>'YÜKLENİCİ ARAÇLARI'!A154</f>
        <v>GEDİK KAYNAK</v>
      </c>
      <c r="B178" s="171" t="str">
        <f>'YÜKLENİCİ ARAÇLARI'!B154</f>
        <v>AKYAZI 2/KUZULUK O.BEY</v>
      </c>
      <c r="C178" s="171" t="str">
        <f>'YÜKLENİCİ ARAÇLARI'!C154</f>
        <v>GÖKHAN IŞIK</v>
      </c>
      <c r="D178" s="171">
        <f>'YÜKLENİCİ ARAÇLARI'!D154</f>
        <v>0</v>
      </c>
      <c r="E178" s="216" t="str">
        <f>'YÜKLENİCİ ARAÇLARI'!E154</f>
        <v>TEK YÖN G/Ç</v>
      </c>
      <c r="F178" s="216">
        <f>'YÜKLENİCİ ARAÇLARI'!F154</f>
        <v>0</v>
      </c>
      <c r="G178" s="217">
        <f>'YÜKLENİCİ ARAÇLARI'!G154</f>
        <v>1600</v>
      </c>
      <c r="H178" s="217">
        <f>'YÜKLENİCİ ARAÇLARI'!H154</f>
        <v>0</v>
      </c>
      <c r="I178" s="217">
        <f>'YÜKLENİCİ ARAÇLARI'!I154</f>
        <v>0</v>
      </c>
      <c r="J178" s="217">
        <f>'YÜKLENİCİ ARAÇLARI'!J154</f>
        <v>0</v>
      </c>
      <c r="K178" s="217">
        <f>'YÜKLENİCİ ARAÇLARI'!K154</f>
        <v>0</v>
      </c>
      <c r="L178" s="217">
        <f>'YÜKLENİCİ ARAÇLARI'!L154</f>
        <v>0</v>
      </c>
    </row>
    <row r="179" spans="1:12" ht="16.95" customHeight="1" thickTop="1" thickBot="1" x14ac:dyDescent="0.3">
      <c r="A179" s="467" t="str">
        <f>'YÜKLENİCİ ARAÇLARI'!A171</f>
        <v>GEDİK KAYNAK</v>
      </c>
      <c r="B179" s="467" t="str">
        <f>'YÜKLENİCİ ARAÇLARI'!B171</f>
        <v>AKYAZI 1/HASTAHANE MAH</v>
      </c>
      <c r="C179" s="467" t="str">
        <f>'YÜKLENİCİ ARAÇLARI'!C171</f>
        <v>GÖKHAN IŞIK</v>
      </c>
      <c r="D179" s="467">
        <f>'YÜKLENİCİ ARAÇLARI'!D171</f>
        <v>0</v>
      </c>
      <c r="E179" s="467" t="str">
        <f>'YÜKLENİCİ ARAÇLARI'!E171</f>
        <v>GRŞ/ÇIKIŞ</v>
      </c>
      <c r="F179" s="467">
        <f>'YÜKLENİCİ ARAÇLARI'!F171</f>
        <v>21</v>
      </c>
      <c r="G179" s="468">
        <f>'YÜKLENİCİ ARAÇLARI'!G171</f>
        <v>2350</v>
      </c>
      <c r="H179" s="468">
        <f>'YÜKLENİCİ ARAÇLARI'!H171</f>
        <v>49350</v>
      </c>
      <c r="I179" s="468">
        <f>'YÜKLENİCİ ARAÇLARI'!I171</f>
        <v>9870</v>
      </c>
      <c r="J179" s="468">
        <f>'YÜKLENİCİ ARAÇLARI'!J171</f>
        <v>59220</v>
      </c>
      <c r="K179" s="468">
        <f>'YÜKLENİCİ ARAÇLARI'!K171</f>
        <v>4935</v>
      </c>
      <c r="L179" s="468">
        <f>'YÜKLENİCİ ARAÇLARI'!L171</f>
        <v>54285</v>
      </c>
    </row>
    <row r="180" spans="1:12" ht="15" thickTop="1" thickBot="1" x14ac:dyDescent="0.3">
      <c r="A180" s="467" t="str">
        <f>'YÜKLENİCİ ARAÇLARI'!A172</f>
        <v>GEDİK KAYNAK</v>
      </c>
      <c r="B180" s="467" t="str">
        <f>'YÜKLENİCİ ARAÇLARI'!B172</f>
        <v>AKYAZI/2 YENİCAMİ</v>
      </c>
      <c r="C180" s="467" t="str">
        <f>'YÜKLENİCİ ARAÇLARI'!C172</f>
        <v>GÖKHAN IŞIK</v>
      </c>
      <c r="D180" s="467">
        <f>'YÜKLENİCİ ARAÇLARI'!D172</f>
        <v>0</v>
      </c>
      <c r="E180" s="467" t="str">
        <f>'YÜKLENİCİ ARAÇLARI'!E172</f>
        <v>GRŞ/ÇIKIŞ</v>
      </c>
      <c r="F180" s="467">
        <f>'YÜKLENİCİ ARAÇLARI'!F172</f>
        <v>18</v>
      </c>
      <c r="G180" s="468">
        <f>'YÜKLENİCİ ARAÇLARI'!G172</f>
        <v>2350</v>
      </c>
      <c r="H180" s="468">
        <f>'YÜKLENİCİ ARAÇLARI'!H172</f>
        <v>42300</v>
      </c>
      <c r="I180" s="468">
        <f>'YÜKLENİCİ ARAÇLARI'!I172</f>
        <v>8460</v>
      </c>
      <c r="J180" s="468">
        <f>'YÜKLENİCİ ARAÇLARI'!J172</f>
        <v>50760</v>
      </c>
      <c r="K180" s="468">
        <f>'YÜKLENİCİ ARAÇLARI'!K172</f>
        <v>4230</v>
      </c>
      <c r="L180" s="468">
        <f>'YÜKLENİCİ ARAÇLARI'!L172</f>
        <v>46530</v>
      </c>
    </row>
    <row r="181" spans="1:12" ht="15" thickTop="1" thickBot="1" x14ac:dyDescent="0.3">
      <c r="A181" s="467" t="str">
        <f>'YÜKLENİCİ ARAÇLARI'!A173</f>
        <v>GEDİK KAYNAK</v>
      </c>
      <c r="B181" s="467" t="str">
        <f>'YÜKLENİCİ ARAÇLARI'!B173</f>
        <v>AKYAZI 3/KUZULUK KAYNAK MAH</v>
      </c>
      <c r="C181" s="467" t="str">
        <f>'YÜKLENİCİ ARAÇLARI'!C173</f>
        <v>GÖKHAN IŞIK</v>
      </c>
      <c r="D181" s="467">
        <f>'YÜKLENİCİ ARAÇLARI'!D173</f>
        <v>0</v>
      </c>
      <c r="E181" s="467" t="str">
        <f>'YÜKLENİCİ ARAÇLARI'!E173</f>
        <v>GRŞ/ÇIKIŞ</v>
      </c>
      <c r="F181" s="467">
        <f>'YÜKLENİCİ ARAÇLARI'!F173</f>
        <v>18</v>
      </c>
      <c r="G181" s="468">
        <f>'YÜKLENİCİ ARAÇLARI'!G173</f>
        <v>2500</v>
      </c>
      <c r="H181" s="468">
        <f>'YÜKLENİCİ ARAÇLARI'!H173</f>
        <v>45000</v>
      </c>
      <c r="I181" s="468">
        <f>'YÜKLENİCİ ARAÇLARI'!I173</f>
        <v>9000</v>
      </c>
      <c r="J181" s="468">
        <f>'YÜKLENİCİ ARAÇLARI'!J173</f>
        <v>54000</v>
      </c>
      <c r="K181" s="468">
        <f>'YÜKLENİCİ ARAÇLARI'!K173</f>
        <v>4500</v>
      </c>
      <c r="L181" s="468">
        <f>'YÜKLENİCİ ARAÇLARI'!L173</f>
        <v>49500</v>
      </c>
    </row>
    <row r="182" spans="1:12" s="218" customFormat="1" ht="15" thickTop="1" thickBot="1" x14ac:dyDescent="0.3">
      <c r="A182" s="467" t="str">
        <f>'YÜKLENİCİ ARAÇLARI'!A190</f>
        <v>GEDİK KAYNAK</v>
      </c>
      <c r="B182" s="467" t="str">
        <f>'YÜKLENİCİ ARAÇLARI'!B190</f>
        <v>AKYAZI</v>
      </c>
      <c r="C182" s="467" t="str">
        <f>'YÜKLENİCİ ARAÇLARI'!C190</f>
        <v>GÖKHAN IŞIK</v>
      </c>
      <c r="D182" s="467">
        <f>'YÜKLENİCİ ARAÇLARI'!D190</f>
        <v>0</v>
      </c>
      <c r="E182" s="467" t="str">
        <f>'YÜKLENİCİ ARAÇLARI'!E190</f>
        <v>20:00 MESAİ tek</v>
      </c>
      <c r="F182" s="467">
        <f>'YÜKLENİCİ ARAÇLARI'!F190</f>
        <v>6</v>
      </c>
      <c r="G182" s="468">
        <f>'YÜKLENİCİ ARAÇLARI'!G190</f>
        <v>1500</v>
      </c>
      <c r="H182" s="468">
        <f>'YÜKLENİCİ ARAÇLARI'!H190</f>
        <v>9000</v>
      </c>
      <c r="I182" s="468">
        <f>'YÜKLENİCİ ARAÇLARI'!I190</f>
        <v>1800</v>
      </c>
      <c r="J182" s="468">
        <f>'YÜKLENİCİ ARAÇLARI'!J190</f>
        <v>10800</v>
      </c>
      <c r="K182" s="468">
        <f>'YÜKLENİCİ ARAÇLARI'!K190</f>
        <v>900</v>
      </c>
      <c r="L182" s="468">
        <f>'YÜKLENİCİ ARAÇLARI'!L190</f>
        <v>9900</v>
      </c>
    </row>
    <row r="183" spans="1:12" s="218" customFormat="1" ht="15" thickTop="1" thickBot="1" x14ac:dyDescent="0.3">
      <c r="A183" s="467" t="str">
        <f>'YÜKLENİCİ ARAÇLARI'!A191</f>
        <v>GEDİK KAYNAK</v>
      </c>
      <c r="B183" s="467" t="str">
        <f>'YÜKLENİCİ ARAÇLARI'!B191</f>
        <v>AKYAZI  H.MAH.YENİCASMİ</v>
      </c>
      <c r="C183" s="467" t="str">
        <f>'YÜKLENİCİ ARAÇLARI'!C191</f>
        <v>GÖKHAN IŞIK</v>
      </c>
      <c r="D183" s="467" t="str">
        <f>'YÜKLENİCİ ARAÇLARI'!D191</f>
        <v>GRŞ/ÇIKIŞ</v>
      </c>
      <c r="E183" s="467" t="str">
        <f>'YÜKLENİCİ ARAÇLARI'!E191</f>
        <v>20:00 MESAİ grş+çıkış</v>
      </c>
      <c r="F183" s="467">
        <f>'YÜKLENİCİ ARAÇLARI'!F191</f>
        <v>34</v>
      </c>
      <c r="G183" s="468">
        <f>'YÜKLENİCİ ARAÇLARI'!G191</f>
        <v>1175</v>
      </c>
      <c r="H183" s="468">
        <f>'YÜKLENİCİ ARAÇLARI'!H191</f>
        <v>39950</v>
      </c>
      <c r="I183" s="468">
        <f>'YÜKLENİCİ ARAÇLARI'!I191</f>
        <v>7990</v>
      </c>
      <c r="J183" s="468">
        <f>'YÜKLENİCİ ARAÇLARI'!J191</f>
        <v>47940</v>
      </c>
      <c r="K183" s="468">
        <f>'YÜKLENİCİ ARAÇLARI'!K191</f>
        <v>3995</v>
      </c>
      <c r="L183" s="468">
        <f>'YÜKLENİCİ ARAÇLARI'!L191</f>
        <v>43945</v>
      </c>
    </row>
    <row r="184" spans="1:12" ht="15" thickTop="1" thickBot="1" x14ac:dyDescent="0.3">
      <c r="A184" s="467" t="str">
        <f>'YÜKLENİCİ ARAÇLARI'!A198</f>
        <v>GEDİK KAYNAK</v>
      </c>
      <c r="B184" s="467" t="str">
        <f>'YÜKLENİCİ ARAÇLARI'!B198</f>
        <v>AKYAZI</v>
      </c>
      <c r="C184" s="467" t="str">
        <f>'YÜKLENİCİ ARAÇLARI'!C198</f>
        <v>GÖKHAN IŞIK</v>
      </c>
      <c r="D184" s="467">
        <f>'YÜKLENİCİ ARAÇLARI'!D198</f>
        <v>0</v>
      </c>
      <c r="E184" s="467" t="str">
        <f>'YÜKLENİCİ ARAÇLARI'!E198</f>
        <v>PAZAR</v>
      </c>
      <c r="F184" s="467">
        <f>'YÜKLENİCİ ARAÇLARI'!F198</f>
        <v>4</v>
      </c>
      <c r="G184" s="468">
        <f>'YÜKLENİCİ ARAÇLARI'!G198</f>
        <v>2350</v>
      </c>
      <c r="H184" s="468">
        <f>'YÜKLENİCİ ARAÇLARI'!H198</f>
        <v>9400</v>
      </c>
      <c r="I184" s="468">
        <f>'YÜKLENİCİ ARAÇLARI'!I198</f>
        <v>1880</v>
      </c>
      <c r="J184" s="468">
        <f>'YÜKLENİCİ ARAÇLARI'!J198</f>
        <v>11280</v>
      </c>
      <c r="K184" s="468">
        <f>'YÜKLENİCİ ARAÇLARI'!K198</f>
        <v>940</v>
      </c>
      <c r="L184" s="468">
        <f>'YÜKLENİCİ ARAÇLARI'!L198</f>
        <v>10340</v>
      </c>
    </row>
    <row r="185" spans="1:12" ht="15" thickTop="1" thickBot="1" x14ac:dyDescent="0.3">
      <c r="A185" s="467" t="str">
        <f>'YÜKLENİCİ ARAÇLARI'!A244</f>
        <v>BURDA BEBEK</v>
      </c>
      <c r="B185" s="467" t="str">
        <f>'YÜKLENİCİ ARAÇLARI'!B244</f>
        <v>AKYAZI</v>
      </c>
      <c r="C185" s="467" t="str">
        <f>'YÜKLENİCİ ARAÇLARI'!C244</f>
        <v>GÖKHAN IŞIK</v>
      </c>
      <c r="D185" s="467" t="str">
        <f>'YÜKLENİCİ ARAÇLARI'!D244</f>
        <v>54 S 0397</v>
      </c>
      <c r="E185" s="467" t="str">
        <f>'YÜKLENİCİ ARAÇLARI'!E244</f>
        <v>VRD</v>
      </c>
      <c r="F185" s="467">
        <f>'YÜKLENİCİ ARAÇLARI'!F244</f>
        <v>98</v>
      </c>
      <c r="G185" s="468">
        <f>'YÜKLENİCİ ARAÇLARI'!G244</f>
        <v>615</v>
      </c>
      <c r="H185" s="468">
        <f>'YÜKLENİCİ ARAÇLARI'!H244</f>
        <v>60270</v>
      </c>
      <c r="I185" s="468">
        <f>'YÜKLENİCİ ARAÇLARI'!I244</f>
        <v>12054</v>
      </c>
      <c r="J185" s="468">
        <f>'YÜKLENİCİ ARAÇLARI'!J244</f>
        <v>72324</v>
      </c>
      <c r="K185" s="468">
        <f>'YÜKLENİCİ ARAÇLARI'!K244</f>
        <v>6027</v>
      </c>
      <c r="L185" s="468">
        <f>'YÜKLENİCİ ARAÇLARI'!L244</f>
        <v>66297</v>
      </c>
    </row>
    <row r="186" spans="1:12" ht="15" thickTop="1" thickBot="1" x14ac:dyDescent="0.3">
      <c r="A186" s="467" t="str">
        <f>'YÜKLENİCİ ARAÇLARI'!A245</f>
        <v>BURDA BEBEK</v>
      </c>
      <c r="B186" s="467" t="str">
        <f>'YÜKLENİCİ ARAÇLARI'!B245</f>
        <v>AKYAZI 2</v>
      </c>
      <c r="C186" s="467" t="str">
        <f>'YÜKLENİCİ ARAÇLARI'!C245</f>
        <v>GÖKHAN IŞIK</v>
      </c>
      <c r="D186" s="467" t="str">
        <f>'YÜKLENİCİ ARAÇLARI'!D245</f>
        <v>54 S 2581</v>
      </c>
      <c r="E186" s="467" t="str">
        <f>'YÜKLENİCİ ARAÇLARI'!E245</f>
        <v>GRŞ/ÇK/TEK</v>
      </c>
      <c r="F186" s="467">
        <f>'YÜKLENİCİ ARAÇLARI'!F245</f>
        <v>36</v>
      </c>
      <c r="G186" s="468">
        <f>'YÜKLENİCİ ARAÇLARI'!G245</f>
        <v>1015</v>
      </c>
      <c r="H186" s="468">
        <f>'YÜKLENİCİ ARAÇLARI'!H245</f>
        <v>36540</v>
      </c>
      <c r="I186" s="468">
        <f>'YÜKLENİCİ ARAÇLARI'!I245</f>
        <v>7308</v>
      </c>
      <c r="J186" s="468">
        <f>'YÜKLENİCİ ARAÇLARI'!J245</f>
        <v>43848</v>
      </c>
      <c r="K186" s="468">
        <f>'YÜKLENİCİ ARAÇLARI'!K245</f>
        <v>3654</v>
      </c>
      <c r="L186" s="468">
        <f>'YÜKLENİCİ ARAÇLARI'!L245</f>
        <v>40194</v>
      </c>
    </row>
    <row r="187" spans="1:12" ht="15" thickTop="1" thickBot="1" x14ac:dyDescent="0.3">
      <c r="A187" s="171" t="str">
        <f>'YÜKLENİCİ ARAÇLARI'!A246</f>
        <v>BURDA BEBEK</v>
      </c>
      <c r="B187" s="171" t="str">
        <f>'YÜKLENİCİ ARAÇLARI'!B246</f>
        <v>AKYAZI 2</v>
      </c>
      <c r="C187" s="171" t="str">
        <f>'YÜKLENİCİ ARAÇLARI'!C246</f>
        <v>GÖKHAN IŞIK</v>
      </c>
      <c r="D187" s="171" t="str">
        <f>'YÜKLENİCİ ARAÇLARI'!D246</f>
        <v>54 S 2581</v>
      </c>
      <c r="E187" s="216" t="str">
        <f>'YÜKLENİCİ ARAÇLARI'!E246</f>
        <v>MESAİ</v>
      </c>
      <c r="F187" s="216">
        <f>'YÜKLENİCİ ARAÇLARI'!F246</f>
        <v>0</v>
      </c>
      <c r="G187" s="217">
        <f>'YÜKLENİCİ ARAÇLARI'!G246</f>
        <v>1353.33</v>
      </c>
      <c r="H187" s="217">
        <f>'YÜKLENİCİ ARAÇLARI'!H246</f>
        <v>0</v>
      </c>
      <c r="I187" s="217">
        <f>'YÜKLENİCİ ARAÇLARI'!I246</f>
        <v>0</v>
      </c>
      <c r="J187" s="217">
        <f>'YÜKLENİCİ ARAÇLARI'!J246</f>
        <v>0</v>
      </c>
      <c r="K187" s="217">
        <f>'YÜKLENİCİ ARAÇLARI'!K246</f>
        <v>0</v>
      </c>
      <c r="L187" s="217">
        <f>'YÜKLENİCİ ARAÇLARI'!L246</f>
        <v>0</v>
      </c>
    </row>
    <row r="188" spans="1:12" ht="18.600000000000001" customHeight="1" thickTop="1" thickBot="1" x14ac:dyDescent="0.3">
      <c r="F188" s="309"/>
      <c r="G188" s="277"/>
      <c r="H188" s="298">
        <f>SUM(H168:H187)</f>
        <v>604005</v>
      </c>
      <c r="I188" s="298">
        <f t="shared" ref="I188:L188" si="32">SUM(I168:I187)</f>
        <v>120801</v>
      </c>
      <c r="J188" s="298">
        <f t="shared" si="32"/>
        <v>724806</v>
      </c>
      <c r="K188" s="298">
        <f t="shared" si="32"/>
        <v>60400.5</v>
      </c>
      <c r="L188" s="298">
        <f t="shared" si="32"/>
        <v>664405.5</v>
      </c>
    </row>
    <row r="189" spans="1:12" ht="18.600000000000001" customHeight="1" thickTop="1" thickBot="1" x14ac:dyDescent="0.3">
      <c r="A189" s="196"/>
      <c r="B189" s="197"/>
      <c r="C189" s="197"/>
      <c r="F189" s="309"/>
      <c r="G189" s="277"/>
      <c r="H189" s="297"/>
      <c r="I189" s="297"/>
      <c r="J189" s="297"/>
      <c r="K189" s="297"/>
      <c r="L189" s="297"/>
    </row>
    <row r="190" spans="1:12" ht="15.6" thickTop="1" x14ac:dyDescent="0.25">
      <c r="E190" s="314"/>
      <c r="H190" s="281"/>
      <c r="I190" s="281"/>
      <c r="J190" s="281"/>
      <c r="K190" s="281"/>
      <c r="L190" s="281"/>
    </row>
    <row r="191" spans="1:12" ht="18" thickBot="1" x14ac:dyDescent="0.35">
      <c r="A191" s="529" t="s">
        <v>24</v>
      </c>
      <c r="B191" s="529"/>
      <c r="C191" s="529"/>
      <c r="D191" s="181"/>
    </row>
    <row r="192" spans="1:12" ht="15" thickTop="1" thickBot="1" x14ac:dyDescent="0.3">
      <c r="A192" s="467" t="str">
        <f>'YÜKLENİCİ ARAÇLARI'!A31</f>
        <v>BAŞAK TRAKTÖR</v>
      </c>
      <c r="B192" s="467" t="str">
        <f>'YÜKLENİCİ ARAÇLARI'!B31</f>
        <v>FATİH E.MES.K.DİBİ TUZLA</v>
      </c>
      <c r="C192" s="467" t="str">
        <f>'YÜKLENİCİ ARAÇLARI'!C31</f>
        <v>GÜVEN TUR</v>
      </c>
      <c r="D192" s="467"/>
      <c r="E192" s="467" t="str">
        <f>'YÜKLENİCİ ARAÇLARI'!E31</f>
        <v>GRŞ/ÇKŞ</v>
      </c>
      <c r="F192" s="467">
        <f>'YÜKLENİCİ ARAÇLARI'!F31</f>
        <v>13</v>
      </c>
      <c r="G192" s="468">
        <f>'YÜKLENİCİ ARAÇLARI'!G31</f>
        <v>1800</v>
      </c>
      <c r="H192" s="469">
        <f>'YÜKLENİCİ ARAÇLARI'!H31</f>
        <v>23400</v>
      </c>
      <c r="I192" s="469">
        <f>'YÜKLENİCİ ARAÇLARI'!I31</f>
        <v>4680</v>
      </c>
      <c r="J192" s="469">
        <f>'YÜKLENİCİ ARAÇLARI'!J31</f>
        <v>28080</v>
      </c>
      <c r="K192" s="469">
        <f>'YÜKLENİCİ ARAÇLARI'!K31</f>
        <v>2340</v>
      </c>
      <c r="L192" s="469">
        <f>'YÜKLENİCİ ARAÇLARI'!L31</f>
        <v>25740</v>
      </c>
    </row>
    <row r="193" spans="1:12" ht="16.2" thickTop="1" thickBot="1" x14ac:dyDescent="0.3">
      <c r="G193" s="274"/>
      <c r="H193" s="262">
        <f t="shared" ref="H193:L193" si="33">SUM(H192)</f>
        <v>23400</v>
      </c>
      <c r="I193" s="262">
        <f t="shared" si="33"/>
        <v>4680</v>
      </c>
      <c r="J193" s="262">
        <f t="shared" si="33"/>
        <v>28080</v>
      </c>
      <c r="K193" s="262">
        <f t="shared" si="33"/>
        <v>2340</v>
      </c>
      <c r="L193" s="262">
        <f t="shared" si="33"/>
        <v>25740</v>
      </c>
    </row>
    <row r="194" spans="1:12" ht="18.600000000000001" thickTop="1" thickBot="1" x14ac:dyDescent="0.35">
      <c r="A194" s="529" t="s">
        <v>323</v>
      </c>
      <c r="B194" s="529"/>
      <c r="C194" s="529"/>
      <c r="D194" s="181"/>
    </row>
    <row r="195" spans="1:12" ht="15" thickTop="1" thickBot="1" x14ac:dyDescent="0.3">
      <c r="A195" s="467" t="str">
        <f>'YÜKLENİCİ ARAÇLARI'!A213</f>
        <v>TAVSAN</v>
      </c>
      <c r="B195" s="467" t="str">
        <f>'YÜKLENİCİ ARAÇLARI'!B213</f>
        <v>ADAPAZARI/3/</v>
      </c>
      <c r="C195" s="467" t="str">
        <f>'YÜKLENİCİ ARAÇLARI'!C213</f>
        <v>ÖMER DER</v>
      </c>
      <c r="D195" s="171" t="str">
        <f>'YÜKLENİCİ ARAÇLARI'!D213</f>
        <v>ADP</v>
      </c>
      <c r="E195" s="467" t="str">
        <f>'YÜKLENİCİ ARAÇLARI'!E213</f>
        <v>GRŞ/ÇIKIŞ</v>
      </c>
      <c r="F195" s="467">
        <f>'YÜKLENİCİ ARAÇLARI'!F213</f>
        <v>18</v>
      </c>
      <c r="G195" s="468">
        <f>'YÜKLENİCİ ARAÇLARI'!G213</f>
        <v>2800</v>
      </c>
      <c r="H195" s="468">
        <f>'YÜKLENİCİ ARAÇLARI'!H213</f>
        <v>50400</v>
      </c>
      <c r="I195" s="468">
        <f>'YÜKLENİCİ ARAÇLARI'!I213</f>
        <v>10080</v>
      </c>
      <c r="J195" s="468">
        <f>'YÜKLENİCİ ARAÇLARI'!J213</f>
        <v>60480</v>
      </c>
      <c r="K195" s="468">
        <f>'YÜKLENİCİ ARAÇLARI'!K213</f>
        <v>5040</v>
      </c>
      <c r="L195" s="468">
        <f>'YÜKLENİCİ ARAÇLARI'!L213</f>
        <v>55440</v>
      </c>
    </row>
    <row r="196" spans="1:12" ht="15" hidden="1" thickTop="1" thickBot="1" x14ac:dyDescent="0.3">
      <c r="A196" s="171" t="e">
        <f>#REF!</f>
        <v>#REF!</v>
      </c>
      <c r="B196" s="171" t="e">
        <f>#REF!</f>
        <v>#REF!</v>
      </c>
      <c r="C196" s="171" t="e">
        <f>#REF!</f>
        <v>#REF!</v>
      </c>
      <c r="D196" s="171"/>
      <c r="E196" s="216" t="e">
        <f>#REF!</f>
        <v>#REF!</v>
      </c>
      <c r="F196" s="282" t="e">
        <f>#REF!</f>
        <v>#REF!</v>
      </c>
      <c r="G196" s="217" t="e">
        <f>#REF!</f>
        <v>#REF!</v>
      </c>
      <c r="H196" s="217" t="e">
        <f>#REF!</f>
        <v>#REF!</v>
      </c>
      <c r="I196" s="217" t="e">
        <f>#REF!</f>
        <v>#REF!</v>
      </c>
      <c r="J196" s="217" t="e">
        <f>#REF!</f>
        <v>#REF!</v>
      </c>
      <c r="K196" s="217" t="e">
        <f>#REF!</f>
        <v>#REF!</v>
      </c>
      <c r="L196" s="217" t="e">
        <f>#REF!</f>
        <v>#REF!</v>
      </c>
    </row>
    <row r="197" spans="1:12" ht="15" hidden="1" thickTop="1" thickBot="1" x14ac:dyDescent="0.3">
      <c r="A197" s="171" t="e">
        <f>#REF!</f>
        <v>#REF!</v>
      </c>
      <c r="B197" s="171" t="e">
        <f>#REF!</f>
        <v>#REF!</v>
      </c>
      <c r="C197" s="171" t="e">
        <f>#REF!</f>
        <v>#REF!</v>
      </c>
      <c r="D197" s="171"/>
      <c r="E197" s="216" t="e">
        <f>#REF!</f>
        <v>#REF!</v>
      </c>
      <c r="F197" s="282" t="e">
        <f>#REF!</f>
        <v>#REF!</v>
      </c>
      <c r="G197" s="217" t="e">
        <f>#REF!</f>
        <v>#REF!</v>
      </c>
      <c r="H197" s="264" t="e">
        <f>#REF!</f>
        <v>#REF!</v>
      </c>
      <c r="I197" s="264" t="e">
        <f>#REF!</f>
        <v>#REF!</v>
      </c>
      <c r="J197" s="264" t="e">
        <f>#REF!</f>
        <v>#REF!</v>
      </c>
      <c r="K197" s="264" t="e">
        <f>#REF!</f>
        <v>#REF!</v>
      </c>
      <c r="L197" s="264" t="e">
        <f>#REF!</f>
        <v>#REF!</v>
      </c>
    </row>
    <row r="198" spans="1:12" ht="16.2" thickTop="1" thickBot="1" x14ac:dyDescent="0.3">
      <c r="H198" s="263">
        <f>SUM(H195:H195)</f>
        <v>50400</v>
      </c>
      <c r="I198" s="263">
        <f>SUM(I195:I195)</f>
        <v>10080</v>
      </c>
      <c r="J198" s="263">
        <f>SUM(J195:J195)</f>
        <v>60480</v>
      </c>
      <c r="K198" s="263">
        <f>SUM(K195:K195)</f>
        <v>5040</v>
      </c>
      <c r="L198" s="263">
        <f>SUM(L195:L195)</f>
        <v>55440</v>
      </c>
    </row>
    <row r="199" spans="1:12" ht="18.600000000000001" thickTop="1" thickBot="1" x14ac:dyDescent="0.35">
      <c r="A199" s="529" t="s">
        <v>82</v>
      </c>
      <c r="B199" s="529"/>
      <c r="C199" s="529"/>
      <c r="D199" s="181"/>
    </row>
    <row r="200" spans="1:12" ht="15" thickTop="1" thickBot="1" x14ac:dyDescent="0.3">
      <c r="A200" s="467" t="str">
        <f>'YÜKLENİCİ ARAÇLARI'!A84</f>
        <v>ALYAN GIDA</v>
      </c>
      <c r="B200" s="467" t="str">
        <f>'YÜKLENİCİ ARAÇLARI'!B84</f>
        <v>HENDEK KÖPRÜBAŞI</v>
      </c>
      <c r="C200" s="467" t="str">
        <f>'YÜKLENİCİ ARAÇLARI'!C84</f>
        <v>HALİL BÜYÜKTANZİM</v>
      </c>
      <c r="D200" s="171" t="str">
        <f>'YÜKLENİCİ ARAÇLARI'!D84</f>
        <v>54 S 2513</v>
      </c>
      <c r="E200" s="467" t="str">
        <f>'YÜKLENİCİ ARAÇLARI'!E84</f>
        <v>ÇİFT</v>
      </c>
      <c r="F200" s="467">
        <f>'YÜKLENİCİ ARAÇLARI'!F84</f>
        <v>11</v>
      </c>
      <c r="G200" s="468">
        <f>'YÜKLENİCİ ARAÇLARI'!G84</f>
        <v>1100</v>
      </c>
      <c r="H200" s="468">
        <f>'YÜKLENİCİ ARAÇLARI'!H84</f>
        <v>12100</v>
      </c>
      <c r="I200" s="468">
        <f>'YÜKLENİCİ ARAÇLARI'!I84</f>
        <v>2420</v>
      </c>
      <c r="J200" s="468">
        <f>'YÜKLENİCİ ARAÇLARI'!J84</f>
        <v>14520</v>
      </c>
      <c r="K200" s="468">
        <f>'YÜKLENİCİ ARAÇLARI'!K84</f>
        <v>1210</v>
      </c>
      <c r="L200" s="468">
        <f>'YÜKLENİCİ ARAÇLARI'!L84</f>
        <v>13310</v>
      </c>
    </row>
    <row r="201" spans="1:12" ht="15" thickTop="1" thickBot="1" x14ac:dyDescent="0.3">
      <c r="A201" s="467" t="str">
        <f>'YÜKLENİCİ ARAÇLARI'!A85</f>
        <v>ALYAN GIDA</v>
      </c>
      <c r="B201" s="467" t="str">
        <f>'YÜKLENİCİ ARAÇLARI'!B85</f>
        <v>HENDEK KÖPRÜBAŞI</v>
      </c>
      <c r="C201" s="467" t="str">
        <f>'YÜKLENİCİ ARAÇLARI'!C85</f>
        <v>HALİL BÜYÜKTANZİM</v>
      </c>
      <c r="D201" s="171" t="str">
        <f>'YÜKLENİCİ ARAÇLARI'!D85</f>
        <v>54 S 2513</v>
      </c>
      <c r="E201" s="467" t="str">
        <f>'YÜKLENİCİ ARAÇLARI'!E85</f>
        <v>TEK</v>
      </c>
      <c r="F201" s="467">
        <f>'YÜKLENİCİ ARAÇLARI'!F85</f>
        <v>61</v>
      </c>
      <c r="G201" s="468">
        <f>'YÜKLENİCİ ARAÇLARI'!G85</f>
        <v>900</v>
      </c>
      <c r="H201" s="469">
        <f>'YÜKLENİCİ ARAÇLARI'!H85</f>
        <v>54900</v>
      </c>
      <c r="I201" s="469">
        <f>'YÜKLENİCİ ARAÇLARI'!I85</f>
        <v>10980</v>
      </c>
      <c r="J201" s="469">
        <f>'YÜKLENİCİ ARAÇLARI'!J85</f>
        <v>65880</v>
      </c>
      <c r="K201" s="469">
        <f>'YÜKLENİCİ ARAÇLARI'!K85</f>
        <v>5490</v>
      </c>
      <c r="L201" s="469">
        <f>'YÜKLENİCİ ARAÇLARI'!L85</f>
        <v>60390</v>
      </c>
    </row>
    <row r="202" spans="1:12" ht="16.2" thickTop="1" thickBot="1" x14ac:dyDescent="0.3">
      <c r="H202" s="263">
        <f>SUM(H200:H201)</f>
        <v>67000</v>
      </c>
      <c r="I202" s="263">
        <f>SUM(I200:I201)</f>
        <v>13400</v>
      </c>
      <c r="J202" s="263">
        <f>SUM(J200:J201)</f>
        <v>80400</v>
      </c>
      <c r="K202" s="263">
        <f>SUM(K200:K201)</f>
        <v>6700</v>
      </c>
      <c r="L202" s="263">
        <f>SUM(L200:L201)</f>
        <v>73700</v>
      </c>
    </row>
    <row r="203" spans="1:12" ht="18.600000000000001" thickTop="1" thickBot="1" x14ac:dyDescent="0.35">
      <c r="A203" s="529" t="s">
        <v>82</v>
      </c>
      <c r="B203" s="529"/>
      <c r="C203" s="529"/>
      <c r="D203" s="181"/>
    </row>
    <row r="204" spans="1:12" ht="15" thickTop="1" thickBot="1" x14ac:dyDescent="0.3">
      <c r="A204" s="467" t="str">
        <f>'YÜKLENİCİ ARAÇLARI'!A289</f>
        <v>ISILSAN</v>
      </c>
      <c r="B204" s="467" t="str">
        <f>'YÜKLENİCİ ARAÇLARI'!B289</f>
        <v>HENDEK 2//</v>
      </c>
      <c r="C204" s="467" t="str">
        <f>'YÜKLENİCİ ARAÇLARI'!C289</f>
        <v>HALİL BÜYÜKTANZİM/ADİL</v>
      </c>
      <c r="D204" s="171" t="str">
        <f>'YÜKLENİCİ ARAÇLARI'!D289</f>
        <v>54 S 0210</v>
      </c>
      <c r="E204" s="467" t="str">
        <f>'YÜKLENİCİ ARAÇLARI'!E289</f>
        <v>GRŞ/ÇIK</v>
      </c>
      <c r="F204" s="467">
        <f>'YÜKLENİCİ ARAÇLARI'!F289</f>
        <v>18</v>
      </c>
      <c r="G204" s="468">
        <f>'YÜKLENİCİ ARAÇLARI'!G289</f>
        <v>1800</v>
      </c>
      <c r="H204" s="468">
        <f>'YÜKLENİCİ ARAÇLARI'!H289</f>
        <v>32400</v>
      </c>
      <c r="I204" s="468">
        <f>'YÜKLENİCİ ARAÇLARI'!I289</f>
        <v>6480</v>
      </c>
      <c r="J204" s="468">
        <f>'YÜKLENİCİ ARAÇLARI'!J289</f>
        <v>38880</v>
      </c>
      <c r="K204" s="468">
        <f>'YÜKLENİCİ ARAÇLARI'!K289</f>
        <v>3240</v>
      </c>
      <c r="L204" s="468">
        <f>'YÜKLENİCİ ARAÇLARI'!L289</f>
        <v>35640</v>
      </c>
    </row>
    <row r="205" spans="1:12" ht="15" thickTop="1" thickBot="1" x14ac:dyDescent="0.3">
      <c r="A205" s="467"/>
      <c r="B205" s="467"/>
      <c r="C205" s="467"/>
      <c r="D205" s="171"/>
      <c r="E205" s="467"/>
      <c r="F205" s="467"/>
      <c r="G205" s="468"/>
      <c r="H205" s="469"/>
      <c r="I205" s="469"/>
      <c r="J205" s="469"/>
      <c r="K205" s="469"/>
      <c r="L205" s="469"/>
    </row>
    <row r="206" spans="1:12" ht="16.2" thickTop="1" thickBot="1" x14ac:dyDescent="0.3">
      <c r="H206" s="263">
        <f>SUM(H204:H205)</f>
        <v>32400</v>
      </c>
      <c r="I206" s="263">
        <f t="shared" ref="I206:L206" si="34">SUM(I204:I205)</f>
        <v>6480</v>
      </c>
      <c r="J206" s="263">
        <f t="shared" si="34"/>
        <v>38880</v>
      </c>
      <c r="K206" s="263">
        <f t="shared" si="34"/>
        <v>3240</v>
      </c>
      <c r="L206" s="263">
        <f t="shared" si="34"/>
        <v>35640</v>
      </c>
    </row>
    <row r="207" spans="1:12" ht="18.600000000000001" thickTop="1" thickBot="1" x14ac:dyDescent="0.35">
      <c r="A207" s="529" t="s">
        <v>548</v>
      </c>
      <c r="B207" s="529"/>
      <c r="C207" s="529"/>
      <c r="D207" s="181"/>
    </row>
    <row r="208" spans="1:12" ht="15" thickTop="1" thickBot="1" x14ac:dyDescent="0.3">
      <c r="A208" s="467" t="str">
        <f>'YÜKLENİCİ ARAÇLARI'!A265</f>
        <v>AQUAKRAFT</v>
      </c>
      <c r="B208" s="467" t="str">
        <f>'YÜKLENİCİ ARAÇLARI'!B265</f>
        <v>SAPANCA</v>
      </c>
      <c r="C208" s="467" t="str">
        <f>'YÜKLENİCİ ARAÇLARI'!C265</f>
        <v>HALİL OKUMUŞ</v>
      </c>
      <c r="D208" s="467">
        <f>'YÜKLENİCİ ARAÇLARI'!D265</f>
        <v>0</v>
      </c>
      <c r="E208" s="467" t="str">
        <f>'YÜKLENİCİ ARAÇLARI'!E265</f>
        <v>GRŞ/ÇIK</v>
      </c>
      <c r="F208" s="467">
        <f>'YÜKLENİCİ ARAÇLARI'!F265</f>
        <v>0</v>
      </c>
      <c r="G208" s="468">
        <f>'YÜKLENİCİ ARAÇLARI'!G265</f>
        <v>2100</v>
      </c>
      <c r="H208" s="468">
        <f>'YÜKLENİCİ ARAÇLARI'!H265</f>
        <v>0</v>
      </c>
      <c r="I208" s="468">
        <f>'YÜKLENİCİ ARAÇLARI'!I265</f>
        <v>0</v>
      </c>
      <c r="J208" s="468">
        <f>'YÜKLENİCİ ARAÇLARI'!J265</f>
        <v>0</v>
      </c>
      <c r="K208" s="468">
        <f>'YÜKLENİCİ ARAÇLARI'!K265</f>
        <v>0</v>
      </c>
      <c r="L208" s="468">
        <f>'YÜKLENİCİ ARAÇLARI'!L265</f>
        <v>0</v>
      </c>
    </row>
    <row r="209" spans="1:13" ht="15" thickTop="1" thickBot="1" x14ac:dyDescent="0.3">
      <c r="A209" s="467" t="str">
        <f>'YÜKLENİCİ ARAÇLARI'!A266</f>
        <v>AQUAKRAFT</v>
      </c>
      <c r="B209" s="467" t="str">
        <f>'YÜKLENİCİ ARAÇLARI'!B266</f>
        <v>SAPANCA</v>
      </c>
      <c r="C209" s="467" t="str">
        <f>'YÜKLENİCİ ARAÇLARI'!C266</f>
        <v>HALİL OKUMUŞ</v>
      </c>
      <c r="D209" s="467">
        <f>'YÜKLENİCİ ARAÇLARI'!D266</f>
        <v>0</v>
      </c>
      <c r="E209" s="467" t="str">
        <f>'YÜKLENİCİ ARAÇLARI'!E266</f>
        <v>TEK</v>
      </c>
      <c r="F209" s="467">
        <f>'YÜKLENİCİ ARAÇLARI'!F266</f>
        <v>43</v>
      </c>
      <c r="G209" s="468">
        <f>'YÜKLENİCİ ARAÇLARI'!G266</f>
        <v>1800</v>
      </c>
      <c r="H209" s="469">
        <f>'YÜKLENİCİ ARAÇLARI'!H266</f>
        <v>77400</v>
      </c>
      <c r="I209" s="469">
        <f>'YÜKLENİCİ ARAÇLARI'!I266</f>
        <v>15480</v>
      </c>
      <c r="J209" s="469">
        <f>'YÜKLENİCİ ARAÇLARI'!J266</f>
        <v>92880</v>
      </c>
      <c r="K209" s="469">
        <f>'YÜKLENİCİ ARAÇLARI'!K266</f>
        <v>7740</v>
      </c>
      <c r="L209" s="469">
        <f>'YÜKLENİCİ ARAÇLARI'!L266</f>
        <v>85140</v>
      </c>
    </row>
    <row r="210" spans="1:13" ht="15" thickTop="1" thickBot="1" x14ac:dyDescent="0.3">
      <c r="A210" s="190"/>
      <c r="B210" s="190"/>
      <c r="C210" s="190"/>
      <c r="D210" s="190"/>
      <c r="E210" s="316"/>
      <c r="F210" s="316"/>
      <c r="G210" s="299"/>
      <c r="H210" s="265">
        <f>SUM(H208:H209)</f>
        <v>77400</v>
      </c>
      <c r="I210" s="265">
        <f t="shared" ref="I210:L210" si="35">SUM(I208:I209)</f>
        <v>15480</v>
      </c>
      <c r="J210" s="265">
        <f t="shared" si="35"/>
        <v>92880</v>
      </c>
      <c r="K210" s="265">
        <f t="shared" si="35"/>
        <v>7740</v>
      </c>
      <c r="L210" s="265">
        <f t="shared" si="35"/>
        <v>85140</v>
      </c>
    </row>
    <row r="211" spans="1:13" ht="14.4" thickTop="1" x14ac:dyDescent="0.25"/>
    <row r="213" spans="1:13" ht="18" thickBot="1" x14ac:dyDescent="0.35">
      <c r="A213" s="530" t="s">
        <v>501</v>
      </c>
      <c r="B213" s="530"/>
      <c r="C213" s="530"/>
      <c r="D213" s="188"/>
    </row>
    <row r="214" spans="1:13" ht="15" thickTop="1" thickBot="1" x14ac:dyDescent="0.3">
      <c r="A214" s="467" t="str">
        <f>'YÜKLENİCİ ARAÇLARI'!A38</f>
        <v>BAŞAK TRAKTÖR</v>
      </c>
      <c r="B214" s="467" t="str">
        <f>'YÜKLENİCİ ARAÇLARI'!B38</f>
        <v>ARİFİYE/AKÇAMLAR</v>
      </c>
      <c r="C214" s="467" t="str">
        <f>'YÜKLENİCİ ARAÇLARI'!C38</f>
        <v>REMZİ/HÜRREM DORUK</v>
      </c>
      <c r="D214" s="467"/>
      <c r="E214" s="467" t="str">
        <f>'YÜKLENİCİ ARAÇLARI'!E38</f>
        <v>GRŞ/ÇKŞ</v>
      </c>
      <c r="F214" s="467">
        <f>'YÜKLENİCİ ARAÇLARI'!F38</f>
        <v>13</v>
      </c>
      <c r="G214" s="468">
        <f>'YÜKLENİCİ ARAÇLARI'!G38</f>
        <v>1800</v>
      </c>
      <c r="H214" s="469">
        <f>'YÜKLENİCİ ARAÇLARI'!H38</f>
        <v>23400</v>
      </c>
      <c r="I214" s="469">
        <f>'YÜKLENİCİ ARAÇLARI'!I38</f>
        <v>0</v>
      </c>
      <c r="J214" s="469">
        <f>'YÜKLENİCİ ARAÇLARI'!J38</f>
        <v>23400</v>
      </c>
      <c r="K214" s="469">
        <f>'YÜKLENİCİ ARAÇLARI'!K38</f>
        <v>0</v>
      </c>
      <c r="L214" s="469">
        <f>'YÜKLENİCİ ARAÇLARI'!L38</f>
        <v>23400</v>
      </c>
    </row>
    <row r="215" spans="1:13" ht="16.2" thickTop="1" thickBot="1" x14ac:dyDescent="0.3">
      <c r="A215" s="480"/>
      <c r="B215" s="480"/>
      <c r="C215" s="480"/>
      <c r="D215" s="480"/>
      <c r="E215" s="480"/>
      <c r="F215" s="481"/>
      <c r="G215" s="482"/>
      <c r="H215" s="483">
        <f>SUM(H214:H214)</f>
        <v>23400</v>
      </c>
      <c r="I215" s="483">
        <f t="shared" ref="I215:L215" si="36">SUM(I214:I214)</f>
        <v>0</v>
      </c>
      <c r="J215" s="483">
        <f t="shared" si="36"/>
        <v>23400</v>
      </c>
      <c r="K215" s="483">
        <f t="shared" si="36"/>
        <v>0</v>
      </c>
      <c r="L215" s="483">
        <f t="shared" si="36"/>
        <v>23400</v>
      </c>
    </row>
    <row r="216" spans="1:13" ht="18.600000000000001" thickTop="1" thickBot="1" x14ac:dyDescent="0.35">
      <c r="A216" s="529" t="s">
        <v>488</v>
      </c>
      <c r="B216" s="529"/>
      <c r="C216" s="529"/>
      <c r="D216" s="181"/>
    </row>
    <row r="217" spans="1:13" ht="14.4" customHeight="1" thickTop="1" thickBot="1" x14ac:dyDescent="0.3">
      <c r="A217" s="467" t="str">
        <f>'YÜKLENİCİ ARAÇLARI'!A34</f>
        <v>BAŞAK TRAKTÖR</v>
      </c>
      <c r="B217" s="467" t="str">
        <f>'YÜKLENİCİ ARAÇLARI'!B34</f>
        <v>GEYVE</v>
      </c>
      <c r="C217" s="467" t="str">
        <f>'YÜKLENİCİ ARAÇLARI'!C34</f>
        <v>İBRAHİM AKKUŞ</v>
      </c>
      <c r="D217" s="467"/>
      <c r="E217" s="467" t="str">
        <f>'YÜKLENİCİ ARAÇLARI'!E34</f>
        <v>GRŞ/ÇKŞ</v>
      </c>
      <c r="F217" s="467">
        <f>'YÜKLENİCİ ARAÇLARI'!F34</f>
        <v>17</v>
      </c>
      <c r="G217" s="468">
        <f>'YÜKLENİCİ ARAÇLARI'!G34</f>
        <v>2900</v>
      </c>
      <c r="H217" s="468">
        <f>'YÜKLENİCİ ARAÇLARI'!H34</f>
        <v>49300</v>
      </c>
      <c r="I217" s="468">
        <f>'YÜKLENİCİ ARAÇLARI'!I34</f>
        <v>9860</v>
      </c>
      <c r="J217" s="468">
        <f>'YÜKLENİCİ ARAÇLARI'!J34</f>
        <v>59160</v>
      </c>
      <c r="K217" s="468">
        <f>'YÜKLENİCİ ARAÇLARI'!K34</f>
        <v>4930</v>
      </c>
      <c r="L217" s="468">
        <f>'YÜKLENİCİ ARAÇLARI'!L34</f>
        <v>54230</v>
      </c>
    </row>
    <row r="218" spans="1:13" ht="15" thickTop="1" thickBot="1" x14ac:dyDescent="0.3">
      <c r="A218" s="467" t="str">
        <f>'YÜKLENİCİ ARAÇLARI'!A35</f>
        <v>BAŞAK TRAKTÖR</v>
      </c>
      <c r="B218" s="467" t="str">
        <f>'YÜKLENİCİ ARAÇLARI'!B35</f>
        <v>MESAİ</v>
      </c>
      <c r="C218" s="467" t="str">
        <f>'YÜKLENİCİ ARAÇLARI'!C35</f>
        <v>İBRAHİM AKKUŞ</v>
      </c>
      <c r="D218" s="467"/>
      <c r="E218" s="467" t="str">
        <f>'YÜKLENİCİ ARAÇLARI'!E35</f>
        <v>MESAİ</v>
      </c>
      <c r="F218" s="467">
        <f>'YÜKLENİCİ ARAÇLARI'!F35</f>
        <v>0</v>
      </c>
      <c r="G218" s="468">
        <f>'YÜKLENİCİ ARAÇLARI'!G35</f>
        <v>0</v>
      </c>
      <c r="H218" s="469">
        <f>'YÜKLENİCİ ARAÇLARI'!H35</f>
        <v>0</v>
      </c>
      <c r="I218" s="469">
        <f>'YÜKLENİCİ ARAÇLARI'!I35</f>
        <v>0</v>
      </c>
      <c r="J218" s="469">
        <f>'YÜKLENİCİ ARAÇLARI'!J35</f>
        <v>0</v>
      </c>
      <c r="K218" s="469">
        <f>'YÜKLENİCİ ARAÇLARI'!K35</f>
        <v>0</v>
      </c>
      <c r="L218" s="469">
        <f>'YÜKLENİCİ ARAÇLARI'!L35</f>
        <v>0</v>
      </c>
    </row>
    <row r="219" spans="1:13" ht="16.2" thickTop="1" thickBot="1" x14ac:dyDescent="0.3">
      <c r="H219" s="263">
        <f t="shared" ref="H219:L219" si="37">SUM(H217:H218)</f>
        <v>49300</v>
      </c>
      <c r="I219" s="263">
        <f t="shared" si="37"/>
        <v>9860</v>
      </c>
      <c r="J219" s="263">
        <f t="shared" si="37"/>
        <v>59160</v>
      </c>
      <c r="K219" s="263">
        <f t="shared" si="37"/>
        <v>4930</v>
      </c>
      <c r="L219" s="263">
        <f t="shared" si="37"/>
        <v>54230</v>
      </c>
    </row>
    <row r="220" spans="1:13" ht="18.600000000000001" thickTop="1" thickBot="1" x14ac:dyDescent="0.35">
      <c r="A220" s="529" t="s">
        <v>105</v>
      </c>
      <c r="B220" s="529"/>
      <c r="C220" s="529"/>
      <c r="D220" s="181"/>
    </row>
    <row r="221" spans="1:13" ht="15" thickTop="1" thickBot="1" x14ac:dyDescent="0.3">
      <c r="A221" s="474" t="str">
        <f>'YÜKLENİCİ ARAÇLARI'!A114</f>
        <v>GEDİK DÖKÜM</v>
      </c>
      <c r="B221" s="474" t="str">
        <f>'YÜKLENİCİ ARAÇLARI'!B114</f>
        <v>HENDEK 2//ÇAĞLAYAN</v>
      </c>
      <c r="C221" s="474" t="str">
        <f>'YÜKLENİCİ ARAÇLARI'!C114</f>
        <v>İBRAHİM DER</v>
      </c>
      <c r="D221" s="474" t="str">
        <f>'YÜKLENİCİ ARAÇLARI'!D114</f>
        <v>27 LİK</v>
      </c>
      <c r="E221" s="474" t="str">
        <f>'YÜKLENİCİ ARAÇLARI'!E114</f>
        <v>GRŞ/ÇKŞ</v>
      </c>
      <c r="F221" s="474">
        <f>'YÜKLENİCİ ARAÇLARI'!F114</f>
        <v>18</v>
      </c>
      <c r="G221" s="475">
        <f>'YÜKLENİCİ ARAÇLARI'!G114</f>
        <v>2400</v>
      </c>
      <c r="H221" s="476">
        <f>'YÜKLENİCİ ARAÇLARI'!H114</f>
        <v>43200</v>
      </c>
      <c r="I221" s="476">
        <f>'YÜKLENİCİ ARAÇLARI'!I114</f>
        <v>8640</v>
      </c>
      <c r="J221" s="476">
        <f>'YÜKLENİCİ ARAÇLARI'!J114</f>
        <v>51840</v>
      </c>
      <c r="K221" s="476">
        <f>'YÜKLENİCİ ARAÇLARI'!K114</f>
        <v>4320</v>
      </c>
      <c r="L221" s="476">
        <f>'YÜKLENİCİ ARAÇLARI'!L114</f>
        <v>47520</v>
      </c>
      <c r="M221" s="173" t="s">
        <v>577</v>
      </c>
    </row>
    <row r="222" spans="1:13" ht="16.2" thickTop="1" thickBot="1" x14ac:dyDescent="0.3">
      <c r="G222" s="274"/>
      <c r="H222" s="262">
        <f t="shared" ref="H222:L222" si="38">SUM(H221)</f>
        <v>43200</v>
      </c>
      <c r="I222" s="262">
        <f t="shared" si="38"/>
        <v>8640</v>
      </c>
      <c r="J222" s="262">
        <f t="shared" si="38"/>
        <v>51840</v>
      </c>
      <c r="K222" s="262">
        <f t="shared" si="38"/>
        <v>4320</v>
      </c>
      <c r="L222" s="262">
        <f t="shared" si="38"/>
        <v>47520</v>
      </c>
    </row>
    <row r="223" spans="1:13" ht="18.600000000000001" thickTop="1" thickBot="1" x14ac:dyDescent="0.35">
      <c r="A223" s="529" t="s">
        <v>107</v>
      </c>
      <c r="B223" s="529"/>
      <c r="C223" s="529"/>
      <c r="D223" s="181"/>
    </row>
    <row r="224" spans="1:13" ht="15" thickTop="1" thickBot="1" x14ac:dyDescent="0.3">
      <c r="A224" s="467" t="str">
        <f>'YÜKLENİCİ ARAÇLARI'!A130</f>
        <v>GEDİK DÖKÜM</v>
      </c>
      <c r="B224" s="467" t="str">
        <f>'YÜKLENİCİ ARAÇLARI'!B130</f>
        <v>ADAPAZARI 3/ YAZLIK K.BAŞI</v>
      </c>
      <c r="C224" s="467" t="str">
        <f>'YÜKLENİCİ ARAÇLARI'!C130</f>
        <v>İSMAİL AÇIKDENİZ</v>
      </c>
      <c r="D224" s="467" t="str">
        <f>'YÜKLENİCİ ARAÇLARI'!D130</f>
        <v>54 S 1747</v>
      </c>
      <c r="E224" s="467" t="str">
        <f>'YÜKLENİCİ ARAÇLARI'!E130</f>
        <v>GRŞ/ÇKŞ</v>
      </c>
      <c r="F224" s="467">
        <f>'YÜKLENİCİ ARAÇLARI'!F130</f>
        <v>18</v>
      </c>
      <c r="G224" s="468">
        <f>'YÜKLENİCİ ARAÇLARI'!G130</f>
        <v>2900</v>
      </c>
      <c r="H224" s="468">
        <f>'YÜKLENİCİ ARAÇLARI'!H130</f>
        <v>52200</v>
      </c>
      <c r="I224" s="468">
        <f>'YÜKLENİCİ ARAÇLARI'!I130</f>
        <v>10440</v>
      </c>
      <c r="J224" s="468">
        <f>'YÜKLENİCİ ARAÇLARI'!J130</f>
        <v>62640</v>
      </c>
      <c r="K224" s="468">
        <f>'YÜKLENİCİ ARAÇLARI'!K130</f>
        <v>5220</v>
      </c>
      <c r="L224" s="468">
        <f>'YÜKLENİCİ ARAÇLARI'!L130</f>
        <v>57420</v>
      </c>
    </row>
    <row r="225" spans="1:12" ht="15.6" customHeight="1" thickTop="1" thickBot="1" x14ac:dyDescent="0.3">
      <c r="A225" s="467" t="str">
        <f>'YÜKLENİCİ ARAÇLARI'!A131</f>
        <v>GEDİK DÖKÜM</v>
      </c>
      <c r="B225" s="467" t="str">
        <f>'YÜKLENİCİ ARAÇLARI'!B131</f>
        <v>ADAPAZARI 3/ YAZLIK K.BAŞI</v>
      </c>
      <c r="C225" s="467" t="str">
        <f>'YÜKLENİCİ ARAÇLARI'!C131</f>
        <v>İSMAİL AÇIKDENİZ</v>
      </c>
      <c r="D225" s="467" t="str">
        <f>'YÜKLENİCİ ARAÇLARI'!D131</f>
        <v>54 S 1747</v>
      </c>
      <c r="E225" s="467" t="str">
        <f>'YÜKLENİCİ ARAÇLARI'!E131</f>
        <v>MESAİ</v>
      </c>
      <c r="F225" s="467">
        <f>'YÜKLENİCİ ARAÇLARI'!F131</f>
        <v>0</v>
      </c>
      <c r="G225" s="468">
        <f>'YÜKLENİCİ ARAÇLARI'!G131</f>
        <v>1750</v>
      </c>
      <c r="H225" s="468">
        <f>'YÜKLENİCİ ARAÇLARI'!H131</f>
        <v>0</v>
      </c>
      <c r="I225" s="468">
        <f>'YÜKLENİCİ ARAÇLARI'!I131</f>
        <v>0</v>
      </c>
      <c r="J225" s="468">
        <f>'YÜKLENİCİ ARAÇLARI'!J131</f>
        <v>0</v>
      </c>
      <c r="K225" s="468">
        <f>'YÜKLENİCİ ARAÇLARI'!K131</f>
        <v>0</v>
      </c>
      <c r="L225" s="468">
        <f>'YÜKLENİCİ ARAÇLARI'!L131</f>
        <v>0</v>
      </c>
    </row>
    <row r="226" spans="1:12" ht="14.4" customHeight="1" thickTop="1" thickBot="1" x14ac:dyDescent="0.3">
      <c r="A226" s="467" t="str">
        <f>'YÜKLENİCİ ARAÇLARI'!A136</f>
        <v>GEDİK DÖKÜM</v>
      </c>
      <c r="B226" s="467" t="str">
        <f>'YÜKLENİCİ ARAÇLARI'!B136</f>
        <v>ADAPAZARI 6/ESKİ TERMİNAL</v>
      </c>
      <c r="C226" s="467" t="str">
        <f>'YÜKLENİCİ ARAÇLARI'!C136</f>
        <v>İSMAİL AÇIKDENİZ</v>
      </c>
      <c r="D226" s="467" t="str">
        <f>'YÜKLENİCİ ARAÇLARI'!D136</f>
        <v>54 S 2661</v>
      </c>
      <c r="E226" s="467" t="str">
        <f>'YÜKLENİCİ ARAÇLARI'!E136</f>
        <v>GRŞ/ÇKŞ</v>
      </c>
      <c r="F226" s="467">
        <f>'YÜKLENİCİ ARAÇLARI'!F136</f>
        <v>18</v>
      </c>
      <c r="G226" s="468">
        <f>'YÜKLENİCİ ARAÇLARI'!G136</f>
        <v>2800</v>
      </c>
      <c r="H226" s="468">
        <f>'YÜKLENİCİ ARAÇLARI'!H136</f>
        <v>50400</v>
      </c>
      <c r="I226" s="468">
        <f>'YÜKLENİCİ ARAÇLARI'!I136</f>
        <v>10080</v>
      </c>
      <c r="J226" s="468">
        <f>'YÜKLENİCİ ARAÇLARI'!J136</f>
        <v>60480</v>
      </c>
      <c r="K226" s="468">
        <f>'YÜKLENİCİ ARAÇLARI'!K136</f>
        <v>5040</v>
      </c>
      <c r="L226" s="468">
        <f>'YÜKLENİCİ ARAÇLARI'!L136</f>
        <v>55440</v>
      </c>
    </row>
    <row r="227" spans="1:12" ht="14.4" customHeight="1" thickTop="1" thickBot="1" x14ac:dyDescent="0.3">
      <c r="A227" s="467" t="str">
        <f>'YÜKLENİCİ ARAÇLARI'!A137</f>
        <v>GEDİK DÖKÜM</v>
      </c>
      <c r="B227" s="467" t="str">
        <f>'YÜKLENİCİ ARAÇLARI'!B137</f>
        <v>ADAPAZARI 6/ESKİ TERMİNAL</v>
      </c>
      <c r="C227" s="467" t="str">
        <f>'YÜKLENİCİ ARAÇLARI'!C137</f>
        <v>İSMAİL AÇIKDENİZ</v>
      </c>
      <c r="D227" s="467" t="str">
        <f>'YÜKLENİCİ ARAÇLARI'!D137</f>
        <v>54 S 2661</v>
      </c>
      <c r="E227" s="467" t="str">
        <f>'YÜKLENİCİ ARAÇLARI'!E137</f>
        <v>MESAİ</v>
      </c>
      <c r="F227" s="467">
        <f>'YÜKLENİCİ ARAÇLARI'!F137</f>
        <v>0</v>
      </c>
      <c r="G227" s="468">
        <f>'YÜKLENİCİ ARAÇLARI'!G137</f>
        <v>1750</v>
      </c>
      <c r="H227" s="469">
        <f>'YÜKLENİCİ ARAÇLARI'!H137</f>
        <v>0</v>
      </c>
      <c r="I227" s="469">
        <f>'YÜKLENİCİ ARAÇLARI'!I137</f>
        <v>0</v>
      </c>
      <c r="J227" s="469">
        <f>'YÜKLENİCİ ARAÇLARI'!J137</f>
        <v>0</v>
      </c>
      <c r="K227" s="469">
        <f>'YÜKLENİCİ ARAÇLARI'!K137</f>
        <v>0</v>
      </c>
      <c r="L227" s="469">
        <f>'YÜKLENİCİ ARAÇLARI'!L137</f>
        <v>0</v>
      </c>
    </row>
    <row r="228" spans="1:12" ht="16.95" customHeight="1" thickTop="1" thickBot="1" x14ac:dyDescent="0.3">
      <c r="H228" s="263">
        <f>SUM(H224:H227)</f>
        <v>102600</v>
      </c>
      <c r="I228" s="263">
        <f t="shared" ref="I228:L228" si="39">SUM(I224:I227)</f>
        <v>20520</v>
      </c>
      <c r="J228" s="263">
        <f t="shared" si="39"/>
        <v>123120</v>
      </c>
      <c r="K228" s="263">
        <f t="shared" si="39"/>
        <v>10260</v>
      </c>
      <c r="L228" s="263">
        <f t="shared" si="39"/>
        <v>112860</v>
      </c>
    </row>
    <row r="229" spans="1:12" ht="18.600000000000001" thickTop="1" thickBot="1" x14ac:dyDescent="0.35">
      <c r="A229" s="529" t="s">
        <v>496</v>
      </c>
      <c r="B229" s="529"/>
      <c r="C229" s="529"/>
      <c r="D229" s="181"/>
    </row>
    <row r="230" spans="1:12" ht="15" hidden="1" thickTop="1" thickBot="1" x14ac:dyDescent="0.3">
      <c r="A230" s="171" t="e">
        <f>#REF!</f>
        <v>#REF!</v>
      </c>
      <c r="B230" s="171" t="e">
        <f>#REF!</f>
        <v>#REF!</v>
      </c>
      <c r="C230" s="171" t="e">
        <f>#REF!</f>
        <v>#REF!</v>
      </c>
      <c r="D230" s="171"/>
      <c r="E230" s="216" t="e">
        <f>#REF!</f>
        <v>#REF!</v>
      </c>
      <c r="F230" s="282" t="e">
        <f>#REF!</f>
        <v>#REF!</v>
      </c>
      <c r="G230" s="217" t="e">
        <f>#REF!</f>
        <v>#REF!</v>
      </c>
      <c r="H230" s="217" t="e">
        <f>#REF!</f>
        <v>#REF!</v>
      </c>
      <c r="I230" s="217" t="e">
        <f>#REF!</f>
        <v>#REF!</v>
      </c>
      <c r="J230" s="217" t="e">
        <f>#REF!</f>
        <v>#REF!</v>
      </c>
      <c r="K230" s="217" t="e">
        <f>#REF!</f>
        <v>#REF!</v>
      </c>
      <c r="L230" s="217" t="e">
        <f>#REF!</f>
        <v>#REF!</v>
      </c>
    </row>
    <row r="231" spans="1:12" ht="15" thickTop="1" thickBot="1" x14ac:dyDescent="0.3">
      <c r="A231" s="467" t="str">
        <f>'YÜKLENİCİ ARAÇLARI'!A33</f>
        <v>BAŞAK TRAKTÖR</v>
      </c>
      <c r="B231" s="467" t="str">
        <f>'YÜKLENİCİ ARAÇLARI'!B33</f>
        <v>GÜLLÜK CAMİ/TEK</v>
      </c>
      <c r="C231" s="467" t="str">
        <f>'YÜKLENİCİ ARAÇLARI'!C33</f>
        <v>KADİR TUNCEL</v>
      </c>
      <c r="D231" s="467"/>
      <c r="E231" s="467" t="str">
        <f>'YÜKLENİCİ ARAÇLARI'!E33</f>
        <v>GRŞ/ÇKŞ</v>
      </c>
      <c r="F231" s="467">
        <f>'YÜKLENİCİ ARAÇLARI'!F33</f>
        <v>13</v>
      </c>
      <c r="G231" s="468">
        <f>'YÜKLENİCİ ARAÇLARI'!G33</f>
        <v>1800</v>
      </c>
      <c r="H231" s="468">
        <f>'YÜKLENİCİ ARAÇLARI'!H33</f>
        <v>23400</v>
      </c>
      <c r="I231" s="468">
        <f>'YÜKLENİCİ ARAÇLARI'!I33</f>
        <v>4680</v>
      </c>
      <c r="J231" s="468">
        <f>'YÜKLENİCİ ARAÇLARI'!J33</f>
        <v>28080</v>
      </c>
      <c r="K231" s="468">
        <f>'YÜKLENİCİ ARAÇLARI'!K33</f>
        <v>2340</v>
      </c>
      <c r="L231" s="468">
        <f>'YÜKLENİCİ ARAÇLARI'!L33</f>
        <v>25740</v>
      </c>
    </row>
    <row r="232" spans="1:12" ht="15" thickTop="1" thickBot="1" x14ac:dyDescent="0.3">
      <c r="A232" s="467" t="str">
        <f>'YÜKLENİCİ ARAÇLARI'!A36</f>
        <v>BAŞAK TRAKTÖR</v>
      </c>
      <c r="B232" s="467" t="str">
        <f>'YÜKLENİCİ ARAÇLARI'!B36</f>
        <v>TÜRBE /HIZIRTEPE</v>
      </c>
      <c r="C232" s="467" t="str">
        <f>'YÜKLENİCİ ARAÇLARI'!C36</f>
        <v>KADİR TUNCEL</v>
      </c>
      <c r="D232" s="467"/>
      <c r="E232" s="467" t="str">
        <f>'YÜKLENİCİ ARAÇLARI'!E36</f>
        <v>GRŞ/ÇKŞ</v>
      </c>
      <c r="F232" s="467">
        <f>'YÜKLENİCİ ARAÇLARI'!F36</f>
        <v>13</v>
      </c>
      <c r="G232" s="468">
        <f>'YÜKLENİCİ ARAÇLARI'!G36</f>
        <v>1800</v>
      </c>
      <c r="H232" s="468">
        <f>'YÜKLENİCİ ARAÇLARI'!H36</f>
        <v>23400</v>
      </c>
      <c r="I232" s="468">
        <f>'YÜKLENİCİ ARAÇLARI'!I36</f>
        <v>4680</v>
      </c>
      <c r="J232" s="468">
        <f>'YÜKLENİCİ ARAÇLARI'!J36</f>
        <v>28080</v>
      </c>
      <c r="K232" s="468">
        <f>'YÜKLENİCİ ARAÇLARI'!K36</f>
        <v>2340</v>
      </c>
      <c r="L232" s="468">
        <f>'YÜKLENİCİ ARAÇLARI'!L36</f>
        <v>25740</v>
      </c>
    </row>
    <row r="233" spans="1:12" ht="15" thickTop="1" thickBot="1" x14ac:dyDescent="0.3">
      <c r="A233" s="467" t="str">
        <f>'YÜKLENİCİ ARAÇLARI'!A297</f>
        <v>ISILSAN</v>
      </c>
      <c r="B233" s="467" t="str">
        <f>'YÜKLENİCİ ARAÇLARI'!B297</f>
        <v>BOYAHANEADAP/MERKEZ</v>
      </c>
      <c r="C233" s="467" t="str">
        <f>'YÜKLENİCİ ARAÇLARI'!C297</f>
        <v>KADİR TUNCEL</v>
      </c>
      <c r="D233" s="467">
        <f>'YÜKLENİCİ ARAÇLARI'!D297</f>
        <v>0</v>
      </c>
      <c r="E233" s="467" t="str">
        <f>'YÜKLENİCİ ARAÇLARI'!E297</f>
        <v>GRŞ/ÇIK</v>
      </c>
      <c r="F233" s="467">
        <f>'YÜKLENİCİ ARAÇLARI'!F297</f>
        <v>18</v>
      </c>
      <c r="G233" s="468">
        <f>'YÜKLENİCİ ARAÇLARI'!G297</f>
        <v>1800</v>
      </c>
      <c r="H233" s="469">
        <f>'YÜKLENİCİ ARAÇLARI'!H297</f>
        <v>32400</v>
      </c>
      <c r="I233" s="469">
        <f>'YÜKLENİCİ ARAÇLARI'!I297</f>
        <v>6480</v>
      </c>
      <c r="J233" s="469">
        <f>'YÜKLENİCİ ARAÇLARI'!J297</f>
        <v>38880</v>
      </c>
      <c r="K233" s="469">
        <f>'YÜKLENİCİ ARAÇLARI'!K297</f>
        <v>3240</v>
      </c>
      <c r="L233" s="469">
        <f>'YÜKLENİCİ ARAÇLARI'!L297</f>
        <v>35640</v>
      </c>
    </row>
    <row r="234" spans="1:12" ht="16.2" thickTop="1" thickBot="1" x14ac:dyDescent="0.3">
      <c r="H234" s="263">
        <f>SUM(H231:H233)</f>
        <v>79200</v>
      </c>
      <c r="I234" s="263">
        <f t="shared" ref="I234:L234" si="40">SUM(I231:I233)</f>
        <v>15840</v>
      </c>
      <c r="J234" s="263">
        <f t="shared" si="40"/>
        <v>95040</v>
      </c>
      <c r="K234" s="263">
        <f t="shared" si="40"/>
        <v>7920</v>
      </c>
      <c r="L234" s="263">
        <f t="shared" si="40"/>
        <v>87120</v>
      </c>
    </row>
    <row r="235" spans="1:12" ht="18.600000000000001" thickTop="1" thickBot="1" x14ac:dyDescent="0.35">
      <c r="A235" s="529" t="s">
        <v>13</v>
      </c>
      <c r="B235" s="529"/>
      <c r="C235" s="529"/>
      <c r="D235" s="181"/>
    </row>
    <row r="236" spans="1:12" ht="15" thickTop="1" thickBot="1" x14ac:dyDescent="0.3">
      <c r="A236" s="474" t="str">
        <f>'YÜKLENİCİ ARAÇLARI'!A7</f>
        <v>BAŞAK TRAKTÖR</v>
      </c>
      <c r="B236" s="474" t="str">
        <f>'YÜKLENİCİ ARAÇLARI'!B7</f>
        <v>BEŞEVLER  ALANDÜZÜ  MESAİ</v>
      </c>
      <c r="C236" s="474" t="str">
        <f>'YÜKLENİCİ ARAÇLARI'!C7</f>
        <v>MEHMET ANLAŞ</v>
      </c>
      <c r="D236" s="474"/>
      <c r="E236" s="474" t="str">
        <f>'YÜKLENİCİ ARAÇLARI'!E7</f>
        <v>MESAİ</v>
      </c>
      <c r="F236" s="474">
        <f>'YÜKLENİCİ ARAÇLARI'!F7</f>
        <v>0</v>
      </c>
      <c r="G236" s="475">
        <f>'YÜKLENİCİ ARAÇLARI'!G7</f>
        <v>0</v>
      </c>
      <c r="H236" s="475">
        <f>'YÜKLENİCİ ARAÇLARI'!H7</f>
        <v>0</v>
      </c>
      <c r="I236" s="475">
        <f>'YÜKLENİCİ ARAÇLARI'!I7</f>
        <v>0</v>
      </c>
      <c r="J236" s="475">
        <f>'YÜKLENİCİ ARAÇLARI'!J7</f>
        <v>0</v>
      </c>
      <c r="K236" s="475">
        <f>'YÜKLENİCİ ARAÇLARI'!K7</f>
        <v>0</v>
      </c>
      <c r="L236" s="475">
        <f>'YÜKLENİCİ ARAÇLARI'!L7</f>
        <v>0</v>
      </c>
    </row>
    <row r="237" spans="1:12" ht="15" thickTop="1" thickBot="1" x14ac:dyDescent="0.3">
      <c r="A237" s="474" t="str">
        <f>'YÜKLENİCİ ARAÇLARI'!A8</f>
        <v>BAŞAK TRAKTÖR</v>
      </c>
      <c r="B237" s="474" t="str">
        <f>'YÜKLENİCİ ARAÇLARI'!B8</f>
        <v>32 EVLER BEŞKÖPRÜ</v>
      </c>
      <c r="C237" s="474" t="str">
        <f>'YÜKLENİCİ ARAÇLARI'!C8</f>
        <v>MEHMET ANLAŞ</v>
      </c>
      <c r="D237" s="474"/>
      <c r="E237" s="474" t="str">
        <f>'YÜKLENİCİ ARAÇLARI'!E8</f>
        <v>GRŞ/ÇKŞ</v>
      </c>
      <c r="F237" s="474">
        <f>'YÜKLENİCİ ARAÇLARI'!F8</f>
        <v>19</v>
      </c>
      <c r="G237" s="475">
        <f>'YÜKLENİCİ ARAÇLARI'!G8</f>
        <v>1800</v>
      </c>
      <c r="H237" s="475">
        <f>'YÜKLENİCİ ARAÇLARI'!H8</f>
        <v>34200</v>
      </c>
      <c r="I237" s="475">
        <f>'YÜKLENİCİ ARAÇLARI'!I8</f>
        <v>6840</v>
      </c>
      <c r="J237" s="475">
        <f>'YÜKLENİCİ ARAÇLARI'!J8</f>
        <v>41040</v>
      </c>
      <c r="K237" s="475">
        <f>'YÜKLENİCİ ARAÇLARI'!K8</f>
        <v>3420</v>
      </c>
      <c r="L237" s="475">
        <f>'YÜKLENİCİ ARAÇLARI'!L8</f>
        <v>37620</v>
      </c>
    </row>
    <row r="238" spans="1:12" ht="15" thickTop="1" thickBot="1" x14ac:dyDescent="0.3">
      <c r="A238" s="474" t="str">
        <f>'YÜKLENİCİ ARAÇLARI'!A9</f>
        <v>BAŞAK TRAKTÖR</v>
      </c>
      <c r="B238" s="474" t="str">
        <f>'YÜKLENİCİ ARAÇLARI'!B9</f>
        <v>SERDİVAN AVM 20:30 MESAİ</v>
      </c>
      <c r="C238" s="474" t="str">
        <f>'YÜKLENİCİ ARAÇLARI'!C9</f>
        <v>MEHMET ANLAŞ</v>
      </c>
      <c r="D238" s="474"/>
      <c r="E238" s="474" t="str">
        <f>'YÜKLENİCİ ARAÇLARI'!E9</f>
        <v>MESAİ</v>
      </c>
      <c r="F238" s="474">
        <f>'YÜKLENİCİ ARAÇLARI'!F9</f>
        <v>1</v>
      </c>
      <c r="G238" s="475">
        <f>'YÜKLENİCİ ARAÇLARI'!G9</f>
        <v>1200</v>
      </c>
      <c r="H238" s="475">
        <f>'YÜKLENİCİ ARAÇLARI'!H9</f>
        <v>1200</v>
      </c>
      <c r="I238" s="475">
        <f>'YÜKLENİCİ ARAÇLARI'!I9</f>
        <v>240</v>
      </c>
      <c r="J238" s="475">
        <f>'YÜKLENİCİ ARAÇLARI'!J9</f>
        <v>1440</v>
      </c>
      <c r="K238" s="475">
        <f>'YÜKLENİCİ ARAÇLARI'!K9</f>
        <v>120</v>
      </c>
      <c r="L238" s="475">
        <f>'YÜKLENİCİ ARAÇLARI'!L9</f>
        <v>1320</v>
      </c>
    </row>
    <row r="239" spans="1:12" ht="15" thickTop="1" thickBot="1" x14ac:dyDescent="0.3">
      <c r="A239" s="474" t="str">
        <f>'YÜKLENİCİ ARAÇLARI'!A305</f>
        <v>B/PLAS</v>
      </c>
      <c r="B239" s="474" t="str">
        <f>'YÜKLENİCİ ARAÇLARI'!B305</f>
        <v>ADAPAZARI</v>
      </c>
      <c r="C239" s="474" t="str">
        <f>'YÜKLENİCİ ARAÇLARI'!C305</f>
        <v>MEHMET ANLAŞ</v>
      </c>
      <c r="D239" s="474">
        <f>'YÜKLENİCİ ARAÇLARI'!D305</f>
        <v>0</v>
      </c>
      <c r="E239" s="474" t="str">
        <f>'YÜKLENİCİ ARAÇLARI'!E305</f>
        <v>ÇİFT</v>
      </c>
      <c r="F239" s="474">
        <f>'YÜKLENİCİ ARAÇLARI'!F305</f>
        <v>85</v>
      </c>
      <c r="G239" s="475">
        <f>'YÜKLENİCİ ARAÇLARI'!G305</f>
        <v>1200</v>
      </c>
      <c r="H239" s="475">
        <f>'YÜKLENİCİ ARAÇLARI'!H305</f>
        <v>102000</v>
      </c>
      <c r="I239" s="475">
        <f>'YÜKLENİCİ ARAÇLARI'!I305</f>
        <v>20400</v>
      </c>
      <c r="J239" s="475">
        <f>'YÜKLENİCİ ARAÇLARI'!J305</f>
        <v>122400</v>
      </c>
      <c r="K239" s="475">
        <f>'YÜKLENİCİ ARAÇLARI'!K305</f>
        <v>10200</v>
      </c>
      <c r="L239" s="475">
        <f>'YÜKLENİCİ ARAÇLARI'!L305</f>
        <v>112200</v>
      </c>
    </row>
    <row r="240" spans="1:12" ht="15" thickTop="1" thickBot="1" x14ac:dyDescent="0.3">
      <c r="A240" s="474" t="str">
        <f>'YÜKLENİCİ ARAÇLARI'!A306</f>
        <v>B/PLAS</v>
      </c>
      <c r="B240" s="474" t="str">
        <f>'YÜKLENİCİ ARAÇLARI'!B306</f>
        <v>ADAPZARI</v>
      </c>
      <c r="C240" s="474" t="str">
        <f>'YÜKLENİCİ ARAÇLARI'!C306</f>
        <v>MEHMET ANLAŞ</v>
      </c>
      <c r="D240" s="474">
        <f>'YÜKLENİCİ ARAÇLARI'!D306</f>
        <v>0</v>
      </c>
      <c r="E240" s="474" t="str">
        <f>'YÜKLENİCİ ARAÇLARI'!E306</f>
        <v>TEK</v>
      </c>
      <c r="F240" s="474">
        <f>'YÜKLENİCİ ARAÇLARI'!F306</f>
        <v>27</v>
      </c>
      <c r="G240" s="475">
        <f>'YÜKLENİCİ ARAÇLARI'!G306</f>
        <v>900</v>
      </c>
      <c r="H240" s="475">
        <f>'YÜKLENİCİ ARAÇLARI'!H306</f>
        <v>24300</v>
      </c>
      <c r="I240" s="475">
        <f>'YÜKLENİCİ ARAÇLARI'!I306</f>
        <v>4860</v>
      </c>
      <c r="J240" s="475">
        <f>'YÜKLENİCİ ARAÇLARI'!J306</f>
        <v>29160</v>
      </c>
      <c r="K240" s="475">
        <f>'YÜKLENİCİ ARAÇLARI'!K306</f>
        <v>2430</v>
      </c>
      <c r="L240" s="475">
        <f>'YÜKLENİCİ ARAÇLARI'!L306</f>
        <v>26730</v>
      </c>
    </row>
    <row r="241" spans="1:13" s="186" customFormat="1" ht="16.2" thickTop="1" thickBot="1" x14ac:dyDescent="0.3">
      <c r="A241" s="193"/>
      <c r="B241" s="193"/>
      <c r="C241" s="193"/>
      <c r="D241" s="193"/>
      <c r="E241" s="318"/>
      <c r="F241" s="294"/>
      <c r="G241" s="301"/>
      <c r="H241" s="301">
        <f>SUM(H236:H240)</f>
        <v>161700</v>
      </c>
      <c r="I241" s="301">
        <f>SUM(I236:I240)</f>
        <v>32340</v>
      </c>
      <c r="J241" s="301">
        <f>SUM(J236:J240)</f>
        <v>194040</v>
      </c>
      <c r="K241" s="301">
        <f>SUM(K236:K240)</f>
        <v>16170</v>
      </c>
      <c r="L241" s="302">
        <f>SUM(L236:L240)</f>
        <v>177870</v>
      </c>
    </row>
    <row r="242" spans="1:13" ht="18.600000000000001" thickTop="1" thickBot="1" x14ac:dyDescent="0.35">
      <c r="A242" s="529" t="s">
        <v>150</v>
      </c>
      <c r="B242" s="529"/>
      <c r="C242" s="529"/>
      <c r="D242" s="181"/>
    </row>
    <row r="243" spans="1:13" ht="15" thickTop="1" thickBot="1" x14ac:dyDescent="0.3">
      <c r="A243" s="474" t="str">
        <f>'YÜKLENİCİ ARAÇLARI'!A318</f>
        <v>EREN OTO</v>
      </c>
      <c r="B243" s="474" t="str">
        <f>'YÜKLENİCİ ARAÇLARI'!B318</f>
        <v>ŞEKER MAH SERDİVAN/H.TEPE</v>
      </c>
      <c r="C243" s="474" t="str">
        <f>'YÜKLENİCİ ARAÇLARI'!C318</f>
        <v>MEHMET ELLİİKİ</v>
      </c>
      <c r="D243" s="474">
        <f>'YÜKLENİCİ ARAÇLARI'!D318</f>
        <v>0</v>
      </c>
      <c r="E243" s="474" t="str">
        <f>'YÜKLENİCİ ARAÇLARI'!E318</f>
        <v>GRŞ/ÇIK</v>
      </c>
      <c r="F243" s="474">
        <f>'YÜKLENİCİ ARAÇLARI'!F318</f>
        <v>14.5</v>
      </c>
      <c r="G243" s="475">
        <f>'YÜKLENİCİ ARAÇLARI'!G318</f>
        <v>1800</v>
      </c>
      <c r="H243" s="475">
        <f>'YÜKLENİCİ ARAÇLARI'!H318</f>
        <v>26100</v>
      </c>
      <c r="I243" s="475">
        <f>'YÜKLENİCİ ARAÇLARI'!I318</f>
        <v>0</v>
      </c>
      <c r="J243" s="475">
        <f>'YÜKLENİCİ ARAÇLARI'!J318</f>
        <v>26100</v>
      </c>
      <c r="K243" s="475">
        <f>'YÜKLENİCİ ARAÇLARI'!K318</f>
        <v>0</v>
      </c>
      <c r="L243" s="475">
        <f>'YÜKLENİCİ ARAÇLARI'!L318</f>
        <v>26100</v>
      </c>
      <c r="M243" s="173" t="s">
        <v>583</v>
      </c>
    </row>
    <row r="244" spans="1:13" ht="15" thickTop="1" thickBot="1" x14ac:dyDescent="0.3">
      <c r="A244" s="474"/>
      <c r="B244" s="474"/>
      <c r="C244" s="474"/>
      <c r="D244" s="474"/>
      <c r="E244" s="474"/>
      <c r="F244" s="474"/>
      <c r="G244" s="475"/>
      <c r="H244" s="476"/>
      <c r="I244" s="476"/>
      <c r="J244" s="476"/>
      <c r="K244" s="476"/>
      <c r="L244" s="476"/>
    </row>
    <row r="245" spans="1:13" ht="16.2" thickTop="1" thickBot="1" x14ac:dyDescent="0.3">
      <c r="H245" s="263">
        <f>SUM(H243:H244)</f>
        <v>26100</v>
      </c>
      <c r="I245" s="263">
        <f t="shared" ref="I245:L245" si="41">SUM(I243:I244)</f>
        <v>0</v>
      </c>
      <c r="J245" s="263">
        <f t="shared" si="41"/>
        <v>26100</v>
      </c>
      <c r="K245" s="263">
        <f t="shared" si="41"/>
        <v>0</v>
      </c>
      <c r="L245" s="263">
        <f t="shared" si="41"/>
        <v>26100</v>
      </c>
    </row>
    <row r="246" spans="1:13" ht="14.4" thickTop="1" x14ac:dyDescent="0.25"/>
    <row r="247" spans="1:13" ht="18" thickBot="1" x14ac:dyDescent="0.35">
      <c r="A247" s="529" t="s">
        <v>500</v>
      </c>
      <c r="B247" s="529"/>
      <c r="C247" s="529"/>
      <c r="D247" s="181"/>
    </row>
    <row r="248" spans="1:13" ht="15" thickTop="1" thickBot="1" x14ac:dyDescent="0.3">
      <c r="A248" s="467" t="str">
        <f>'YÜKLENİCİ ARAÇLARI'!A45</f>
        <v>BAŞAK TRAKTÖR</v>
      </c>
      <c r="B248" s="467" t="str">
        <f>'YÜKLENİCİ ARAÇLARI'!B45</f>
        <v>SERD 2/ARABACI ALANI LOJ.</v>
      </c>
      <c r="C248" s="467" t="str">
        <f>'YÜKLENİCİ ARAÇLARI'!C45</f>
        <v>NURİ ŞAHİN ESTUR LIVIN</v>
      </c>
      <c r="D248" s="467"/>
      <c r="E248" s="467" t="str">
        <f>'YÜKLENİCİ ARAÇLARI'!E45</f>
        <v>GRŞ/ÇKŞ</v>
      </c>
      <c r="F248" s="467">
        <f>'YÜKLENİCİ ARAÇLARI'!F45</f>
        <v>15</v>
      </c>
      <c r="G248" s="468">
        <f>'YÜKLENİCİ ARAÇLARI'!G45</f>
        <v>1800</v>
      </c>
      <c r="H248" s="469">
        <f>'YÜKLENİCİ ARAÇLARI'!H45</f>
        <v>27000</v>
      </c>
      <c r="I248" s="469">
        <f>'YÜKLENİCİ ARAÇLARI'!I45</f>
        <v>5400</v>
      </c>
      <c r="J248" s="469">
        <f>'YÜKLENİCİ ARAÇLARI'!J45</f>
        <v>32400</v>
      </c>
      <c r="K248" s="469">
        <f>'YÜKLENİCİ ARAÇLARI'!K45</f>
        <v>2700</v>
      </c>
      <c r="L248" s="469">
        <f>'YÜKLENİCİ ARAÇLARI'!L45</f>
        <v>29700</v>
      </c>
    </row>
    <row r="249" spans="1:13" ht="15" thickTop="1" thickBot="1" x14ac:dyDescent="0.3">
      <c r="G249" s="269">
        <f t="shared" ref="G249:L249" si="42">SUM(G248:G248)</f>
        <v>1800</v>
      </c>
      <c r="H249" s="300">
        <f t="shared" si="42"/>
        <v>27000</v>
      </c>
      <c r="I249" s="300">
        <f t="shared" si="42"/>
        <v>5400</v>
      </c>
      <c r="J249" s="300">
        <f t="shared" si="42"/>
        <v>32400</v>
      </c>
      <c r="K249" s="300">
        <f t="shared" si="42"/>
        <v>2700</v>
      </c>
      <c r="L249" s="300">
        <f t="shared" si="42"/>
        <v>29700</v>
      </c>
    </row>
    <row r="250" spans="1:13" ht="18" hidden="1" thickTop="1" x14ac:dyDescent="0.3">
      <c r="A250" s="537"/>
      <c r="B250" s="537"/>
      <c r="C250" s="537"/>
      <c r="D250" s="181"/>
    </row>
    <row r="251" spans="1:13" ht="15" hidden="1" thickTop="1" thickBot="1" x14ac:dyDescent="0.3">
      <c r="A251" s="171"/>
      <c r="B251" s="171"/>
      <c r="C251" s="171"/>
      <c r="D251" s="171"/>
      <c r="E251" s="216"/>
      <c r="F251" s="216"/>
      <c r="G251" s="217"/>
      <c r="H251" s="217"/>
      <c r="I251" s="217"/>
      <c r="J251" s="217"/>
      <c r="K251" s="217"/>
      <c r="L251" s="217"/>
    </row>
    <row r="252" spans="1:13" ht="15" hidden="1" thickTop="1" thickBot="1" x14ac:dyDescent="0.3">
      <c r="A252" s="171"/>
      <c r="B252" s="171"/>
      <c r="C252" s="171"/>
      <c r="D252" s="171"/>
      <c r="E252" s="216"/>
      <c r="F252" s="216"/>
      <c r="G252" s="217"/>
      <c r="H252" s="217"/>
      <c r="I252" s="217"/>
      <c r="J252" s="217"/>
      <c r="K252" s="217"/>
      <c r="L252" s="217"/>
    </row>
    <row r="253" spans="1:13" ht="15" hidden="1" thickTop="1" thickBot="1" x14ac:dyDescent="0.3">
      <c r="A253" s="171"/>
      <c r="B253" s="171"/>
      <c r="C253" s="171"/>
      <c r="D253" s="171"/>
      <c r="E253" s="216"/>
      <c r="F253" s="216"/>
      <c r="G253" s="217"/>
      <c r="H253" s="217"/>
      <c r="I253" s="217"/>
      <c r="J253" s="217"/>
      <c r="K253" s="217"/>
      <c r="L253" s="217"/>
    </row>
    <row r="254" spans="1:13" ht="15.6" hidden="1" thickTop="1" x14ac:dyDescent="0.25">
      <c r="F254" s="309"/>
      <c r="G254" s="277"/>
      <c r="H254" s="303">
        <f>SUM(H251:H253)</f>
        <v>0</v>
      </c>
      <c r="I254" s="303">
        <f>SUM(I251:I253)</f>
        <v>0</v>
      </c>
      <c r="J254" s="303">
        <f>SUM(J251:J253)</f>
        <v>0</v>
      </c>
      <c r="K254" s="303">
        <f>SUM(K251:K253)</f>
        <v>0</v>
      </c>
      <c r="L254" s="303">
        <f>SUM(L251:L253)</f>
        <v>0</v>
      </c>
    </row>
    <row r="255" spans="1:13" ht="14.4" hidden="1" thickTop="1" x14ac:dyDescent="0.25"/>
    <row r="256" spans="1:13" ht="14.4" hidden="1" thickTop="1" x14ac:dyDescent="0.25"/>
    <row r="257" spans="1:12" ht="14.4" thickTop="1" x14ac:dyDescent="0.25"/>
    <row r="258" spans="1:12" ht="18" thickBot="1" x14ac:dyDescent="0.35">
      <c r="A258" s="529" t="s">
        <v>151</v>
      </c>
      <c r="B258" s="529"/>
      <c r="C258" s="529"/>
      <c r="D258" s="181"/>
    </row>
    <row r="259" spans="1:12" ht="15" thickTop="1" thickBot="1" x14ac:dyDescent="0.3">
      <c r="A259" s="467" t="str">
        <f>'YÜKLENİCİ ARAÇLARI'!A252</f>
        <v>AQUAKRAFT</v>
      </c>
      <c r="B259" s="467" t="str">
        <f>'YÜKLENİCİ ARAÇLARI'!B252</f>
        <v>FERİZLİ 1/AKÇUKUR</v>
      </c>
      <c r="C259" s="467" t="str">
        <f>'YÜKLENİCİ ARAÇLARI'!C252</f>
        <v>MEHMET AVAR</v>
      </c>
      <c r="D259" s="467">
        <f>'YÜKLENİCİ ARAÇLARI'!D252</f>
        <v>0</v>
      </c>
      <c r="E259" s="467" t="str">
        <f>'YÜKLENİCİ ARAÇLARI'!E252</f>
        <v>GRŞ/ÇIK</v>
      </c>
      <c r="F259" s="467">
        <f>'YÜKLENİCİ ARAÇLARI'!F252</f>
        <v>0</v>
      </c>
      <c r="G259" s="468">
        <f>'YÜKLENİCİ ARAÇLARI'!G252</f>
        <v>1700</v>
      </c>
      <c r="H259" s="468">
        <f>'YÜKLENİCİ ARAÇLARI'!H252</f>
        <v>0</v>
      </c>
      <c r="I259" s="468">
        <f>'YÜKLENİCİ ARAÇLARI'!I252</f>
        <v>0</v>
      </c>
      <c r="J259" s="468">
        <f>'YÜKLENİCİ ARAÇLARI'!J252</f>
        <v>0</v>
      </c>
      <c r="K259" s="468">
        <f>'YÜKLENİCİ ARAÇLARI'!K252</f>
        <v>0</v>
      </c>
      <c r="L259" s="468">
        <f>'YÜKLENİCİ ARAÇLARI'!L252</f>
        <v>0</v>
      </c>
    </row>
    <row r="260" spans="1:12" ht="17.399999999999999" customHeight="1" thickTop="1" thickBot="1" x14ac:dyDescent="0.3">
      <c r="A260" s="467" t="str">
        <f>'YÜKLENİCİ ARAÇLARI'!A253</f>
        <v>AQUAKRAFT</v>
      </c>
      <c r="B260" s="467" t="str">
        <f>'YÜKLENİCİ ARAÇLARI'!B253</f>
        <v>FERİZLİ 1/AKÇUKUR</v>
      </c>
      <c r="C260" s="467" t="str">
        <f>'YÜKLENİCİ ARAÇLARI'!C253</f>
        <v>MEHMET AVAR</v>
      </c>
      <c r="D260" s="467">
        <f>'YÜKLENİCİ ARAÇLARI'!D253</f>
        <v>0</v>
      </c>
      <c r="E260" s="467" t="str">
        <f>'YÜKLENİCİ ARAÇLARI'!E253</f>
        <v>TEK</v>
      </c>
      <c r="F260" s="467">
        <f>'YÜKLENİCİ ARAÇLARI'!F253</f>
        <v>60</v>
      </c>
      <c r="G260" s="468">
        <f>'YÜKLENİCİ ARAÇLARI'!G253</f>
        <v>1000</v>
      </c>
      <c r="H260" s="468">
        <f>'YÜKLENİCİ ARAÇLARI'!H253</f>
        <v>60000</v>
      </c>
      <c r="I260" s="468">
        <f>'YÜKLENİCİ ARAÇLARI'!I253</f>
        <v>12000</v>
      </c>
      <c r="J260" s="468">
        <f>'YÜKLENİCİ ARAÇLARI'!J253</f>
        <v>72000</v>
      </c>
      <c r="K260" s="468">
        <f>'YÜKLENİCİ ARAÇLARI'!K253</f>
        <v>6000</v>
      </c>
      <c r="L260" s="468">
        <f>'YÜKLENİCİ ARAÇLARI'!L253</f>
        <v>66000</v>
      </c>
    </row>
    <row r="261" spans="1:12" ht="15" thickTop="1" thickBot="1" x14ac:dyDescent="0.3">
      <c r="A261" s="467" t="str">
        <f>'YÜKLENİCİ ARAÇLARI'!A254</f>
        <v>AQUAKRAFT</v>
      </c>
      <c r="B261" s="467" t="str">
        <f>'YÜKLENİCİ ARAÇLARI'!B254</f>
        <v>FERİZLİ 2/SEYİFLER</v>
      </c>
      <c r="C261" s="467" t="str">
        <f>'YÜKLENİCİ ARAÇLARI'!C254</f>
        <v>MEHMET AVAR</v>
      </c>
      <c r="D261" s="467">
        <f>'YÜKLENİCİ ARAÇLARI'!D254</f>
        <v>0</v>
      </c>
      <c r="E261" s="467" t="str">
        <f>'YÜKLENİCİ ARAÇLARI'!E254</f>
        <v>GRŞ/ÇIK</v>
      </c>
      <c r="F261" s="467">
        <f>'YÜKLENİCİ ARAÇLARI'!F254</f>
        <v>0</v>
      </c>
      <c r="G261" s="468">
        <f>'YÜKLENİCİ ARAÇLARI'!G254</f>
        <v>1700</v>
      </c>
      <c r="H261" s="468">
        <f>'YÜKLENİCİ ARAÇLARI'!H254</f>
        <v>0</v>
      </c>
      <c r="I261" s="468">
        <f>'YÜKLENİCİ ARAÇLARI'!I254</f>
        <v>0</v>
      </c>
      <c r="J261" s="468">
        <f>'YÜKLENİCİ ARAÇLARI'!J254</f>
        <v>0</v>
      </c>
      <c r="K261" s="468">
        <f>'YÜKLENİCİ ARAÇLARI'!K254</f>
        <v>0</v>
      </c>
      <c r="L261" s="468">
        <f>'YÜKLENİCİ ARAÇLARI'!L254</f>
        <v>0</v>
      </c>
    </row>
    <row r="262" spans="1:12" ht="15" thickTop="1" thickBot="1" x14ac:dyDescent="0.3">
      <c r="A262" s="467" t="str">
        <f>'YÜKLENİCİ ARAÇLARI'!A255</f>
        <v>AQUAKRAFT</v>
      </c>
      <c r="B262" s="467" t="str">
        <f>'YÜKLENİCİ ARAÇLARI'!B255</f>
        <v>FERİZLİ 2/SEYİFLER</v>
      </c>
      <c r="C262" s="467" t="str">
        <f>'YÜKLENİCİ ARAÇLARI'!C255</f>
        <v>MEHMET AVAR</v>
      </c>
      <c r="D262" s="467">
        <f>'YÜKLENİCİ ARAÇLARI'!D255</f>
        <v>0</v>
      </c>
      <c r="E262" s="467" t="str">
        <f>'YÜKLENİCİ ARAÇLARI'!E255</f>
        <v>TEK</v>
      </c>
      <c r="F262" s="467">
        <f>'YÜKLENİCİ ARAÇLARI'!F255</f>
        <v>44</v>
      </c>
      <c r="G262" s="468">
        <f>'YÜKLENİCİ ARAÇLARI'!G255</f>
        <v>1000</v>
      </c>
      <c r="H262" s="468">
        <f>'YÜKLENİCİ ARAÇLARI'!H255</f>
        <v>44000</v>
      </c>
      <c r="I262" s="468">
        <f>'YÜKLENİCİ ARAÇLARI'!I255</f>
        <v>8800</v>
      </c>
      <c r="J262" s="468">
        <f>'YÜKLENİCİ ARAÇLARI'!J255</f>
        <v>52800</v>
      </c>
      <c r="K262" s="468">
        <f>'YÜKLENİCİ ARAÇLARI'!K255</f>
        <v>4400</v>
      </c>
      <c r="L262" s="468">
        <f>'YÜKLENİCİ ARAÇLARI'!L255</f>
        <v>48400</v>
      </c>
    </row>
    <row r="263" spans="1:12" ht="15" thickTop="1" thickBot="1" x14ac:dyDescent="0.3">
      <c r="A263" s="467" t="str">
        <f>'YÜKLENİCİ ARAÇLARI'!A256</f>
        <v>AQUAKRAFT</v>
      </c>
      <c r="B263" s="467" t="str">
        <f>'YÜKLENİCİ ARAÇLARI'!B256</f>
        <v>FERİZLİ 3/SÖĞÜTLÜ</v>
      </c>
      <c r="C263" s="467" t="str">
        <f>'YÜKLENİCİ ARAÇLARI'!C256</f>
        <v>MEHMET AVAR</v>
      </c>
      <c r="D263" s="467">
        <f>'YÜKLENİCİ ARAÇLARI'!D256</f>
        <v>0</v>
      </c>
      <c r="E263" s="467" t="str">
        <f>'YÜKLENİCİ ARAÇLARI'!E256</f>
        <v>GRŞ/ÇIK</v>
      </c>
      <c r="F263" s="467">
        <f>'YÜKLENİCİ ARAÇLARI'!F256</f>
        <v>0</v>
      </c>
      <c r="G263" s="468">
        <f>'YÜKLENİCİ ARAÇLARI'!G256</f>
        <v>1700</v>
      </c>
      <c r="H263" s="468">
        <f>'YÜKLENİCİ ARAÇLARI'!H256</f>
        <v>0</v>
      </c>
      <c r="I263" s="468">
        <f>'YÜKLENİCİ ARAÇLARI'!I256</f>
        <v>0</v>
      </c>
      <c r="J263" s="468">
        <f>'YÜKLENİCİ ARAÇLARI'!J256</f>
        <v>0</v>
      </c>
      <c r="K263" s="468">
        <f>'YÜKLENİCİ ARAÇLARI'!K256</f>
        <v>0</v>
      </c>
      <c r="L263" s="468">
        <f>'YÜKLENİCİ ARAÇLARI'!L256</f>
        <v>0</v>
      </c>
    </row>
    <row r="264" spans="1:12" ht="15" thickTop="1" thickBot="1" x14ac:dyDescent="0.3">
      <c r="A264" s="467" t="str">
        <f>'YÜKLENİCİ ARAÇLARI'!A257</f>
        <v>AQUAKRAFT</v>
      </c>
      <c r="B264" s="467" t="str">
        <f>'YÜKLENİCİ ARAÇLARI'!B257</f>
        <v>FERİZLİ 3/SÖĞÜTLÜ</v>
      </c>
      <c r="C264" s="467" t="str">
        <f>'YÜKLENİCİ ARAÇLARI'!C257</f>
        <v>MEHMET AVAR</v>
      </c>
      <c r="D264" s="467">
        <f>'YÜKLENİCİ ARAÇLARI'!D257</f>
        <v>0</v>
      </c>
      <c r="E264" s="467" t="str">
        <f>'YÜKLENİCİ ARAÇLARI'!E257</f>
        <v>TEK</v>
      </c>
      <c r="F264" s="467">
        <f>'YÜKLENİCİ ARAÇLARI'!F257</f>
        <v>38</v>
      </c>
      <c r="G264" s="468">
        <f>'YÜKLENİCİ ARAÇLARI'!G257</f>
        <v>1000</v>
      </c>
      <c r="H264" s="468">
        <f>'YÜKLENİCİ ARAÇLARI'!H257</f>
        <v>38000</v>
      </c>
      <c r="I264" s="468">
        <f>'YÜKLENİCİ ARAÇLARI'!I257</f>
        <v>7600</v>
      </c>
      <c r="J264" s="468">
        <f>'YÜKLENİCİ ARAÇLARI'!J257</f>
        <v>45600</v>
      </c>
      <c r="K264" s="468">
        <f>'YÜKLENİCİ ARAÇLARI'!K257</f>
        <v>3800</v>
      </c>
      <c r="L264" s="468">
        <f>'YÜKLENİCİ ARAÇLARI'!L257</f>
        <v>41800</v>
      </c>
    </row>
    <row r="265" spans="1:12" ht="15" thickTop="1" thickBot="1" x14ac:dyDescent="0.3">
      <c r="A265" s="467" t="str">
        <f>'YÜKLENİCİ ARAÇLARI'!A258</f>
        <v>AQUAKRAFT</v>
      </c>
      <c r="B265" s="467" t="str">
        <f>'YÜKLENİCİ ARAÇLARI'!B258</f>
        <v>KARASU //1</v>
      </c>
      <c r="C265" s="467" t="str">
        <f>'YÜKLENİCİ ARAÇLARI'!C258</f>
        <v>MEHMET AVAR</v>
      </c>
      <c r="D265" s="467">
        <f>'YÜKLENİCİ ARAÇLARI'!D258</f>
        <v>0</v>
      </c>
      <c r="E265" s="467" t="str">
        <f>'YÜKLENİCİ ARAÇLARI'!E258</f>
        <v>GRŞ/ÇIK</v>
      </c>
      <c r="F265" s="467">
        <f>'YÜKLENİCİ ARAÇLARI'!F258</f>
        <v>2</v>
      </c>
      <c r="G265" s="468">
        <f>'YÜKLENİCİ ARAÇLARI'!G258</f>
        <v>2000</v>
      </c>
      <c r="H265" s="468">
        <f>'YÜKLENİCİ ARAÇLARI'!H258</f>
        <v>4000</v>
      </c>
      <c r="I265" s="468">
        <f>'YÜKLENİCİ ARAÇLARI'!I258</f>
        <v>800</v>
      </c>
      <c r="J265" s="468">
        <f>'YÜKLENİCİ ARAÇLARI'!J258</f>
        <v>4800</v>
      </c>
      <c r="K265" s="468">
        <f>'YÜKLENİCİ ARAÇLARI'!K258</f>
        <v>400</v>
      </c>
      <c r="L265" s="468">
        <f>'YÜKLENİCİ ARAÇLARI'!L258</f>
        <v>4400</v>
      </c>
    </row>
    <row r="266" spans="1:12" ht="15" thickTop="1" thickBot="1" x14ac:dyDescent="0.3">
      <c r="A266" s="467" t="str">
        <f>'YÜKLENİCİ ARAÇLARI'!A259</f>
        <v>AQUAKRAFT</v>
      </c>
      <c r="B266" s="467" t="str">
        <f>'YÜKLENİCİ ARAÇLARI'!B259</f>
        <v>KARASU //1</v>
      </c>
      <c r="C266" s="467" t="str">
        <f>'YÜKLENİCİ ARAÇLARI'!C259</f>
        <v>MEHMET AVAR</v>
      </c>
      <c r="D266" s="467">
        <f>'YÜKLENİCİ ARAÇLARI'!D259</f>
        <v>0</v>
      </c>
      <c r="E266" s="467" t="str">
        <f>'YÜKLENİCİ ARAÇLARI'!E259</f>
        <v>TEK+MESAİ</v>
      </c>
      <c r="F266" s="467">
        <f>'YÜKLENİCİ ARAÇLARI'!F259</f>
        <v>86</v>
      </c>
      <c r="G266" s="468">
        <f>'YÜKLENİCİ ARAÇLARI'!G259</f>
        <v>1500</v>
      </c>
      <c r="H266" s="468">
        <f>'YÜKLENİCİ ARAÇLARI'!H259</f>
        <v>129000</v>
      </c>
      <c r="I266" s="468">
        <f>'YÜKLENİCİ ARAÇLARI'!I259</f>
        <v>25800</v>
      </c>
      <c r="J266" s="468">
        <f>'YÜKLENİCİ ARAÇLARI'!J259</f>
        <v>154800</v>
      </c>
      <c r="K266" s="468">
        <f>'YÜKLENİCİ ARAÇLARI'!K259</f>
        <v>12900</v>
      </c>
      <c r="L266" s="468">
        <f>'YÜKLENİCİ ARAÇLARI'!L259</f>
        <v>141900</v>
      </c>
    </row>
    <row r="267" spans="1:12" ht="15" thickTop="1" thickBot="1" x14ac:dyDescent="0.3">
      <c r="A267" s="467" t="str">
        <f>'YÜKLENİCİ ARAÇLARI'!A260</f>
        <v>AQUAKRAFT</v>
      </c>
      <c r="B267" s="467" t="str">
        <f>'YÜKLENİCİ ARAÇLARI'!B260</f>
        <v>KARASU //2</v>
      </c>
      <c r="C267" s="467" t="str">
        <f>'YÜKLENİCİ ARAÇLARI'!C260</f>
        <v>MEHMET AVAR</v>
      </c>
      <c r="D267" s="467">
        <f>'YÜKLENİCİ ARAÇLARI'!D260</f>
        <v>0</v>
      </c>
      <c r="E267" s="467" t="str">
        <f>'YÜKLENİCİ ARAÇLARI'!E260</f>
        <v>GRŞ/ÇIK</v>
      </c>
      <c r="F267" s="467">
        <f>'YÜKLENİCİ ARAÇLARI'!F260</f>
        <v>0</v>
      </c>
      <c r="G267" s="468">
        <f>'YÜKLENİCİ ARAÇLARI'!G260</f>
        <v>2000</v>
      </c>
      <c r="H267" s="468">
        <f>'YÜKLENİCİ ARAÇLARI'!H260</f>
        <v>0</v>
      </c>
      <c r="I267" s="468">
        <f>'YÜKLENİCİ ARAÇLARI'!I260</f>
        <v>0</v>
      </c>
      <c r="J267" s="468">
        <f>'YÜKLENİCİ ARAÇLARI'!J260</f>
        <v>0</v>
      </c>
      <c r="K267" s="468">
        <f>'YÜKLENİCİ ARAÇLARI'!K260</f>
        <v>0</v>
      </c>
      <c r="L267" s="468">
        <f>'YÜKLENİCİ ARAÇLARI'!L260</f>
        <v>0</v>
      </c>
    </row>
    <row r="268" spans="1:12" ht="15" thickTop="1" thickBot="1" x14ac:dyDescent="0.3">
      <c r="A268" s="467" t="str">
        <f>'YÜKLENİCİ ARAÇLARI'!A261</f>
        <v>AQUAKRAFT</v>
      </c>
      <c r="B268" s="467" t="str">
        <f>'YÜKLENİCİ ARAÇLARI'!B261</f>
        <v>KARASU //2</v>
      </c>
      <c r="C268" s="467" t="str">
        <f>'YÜKLENİCİ ARAÇLARI'!C261</f>
        <v>MEHMET AVAR</v>
      </c>
      <c r="D268" s="467">
        <f>'YÜKLENİCİ ARAÇLARI'!D261</f>
        <v>0</v>
      </c>
      <c r="E268" s="467" t="str">
        <f>'YÜKLENİCİ ARAÇLARI'!E261</f>
        <v>TEK</v>
      </c>
      <c r="F268" s="467">
        <f>'YÜKLENİCİ ARAÇLARI'!F261</f>
        <v>44</v>
      </c>
      <c r="G268" s="468">
        <f>'YÜKLENİCİ ARAÇLARI'!G261</f>
        <v>1500</v>
      </c>
      <c r="H268" s="468">
        <f>'YÜKLENİCİ ARAÇLARI'!H261</f>
        <v>66000</v>
      </c>
      <c r="I268" s="468">
        <f>'YÜKLENİCİ ARAÇLARI'!I261</f>
        <v>13200</v>
      </c>
      <c r="J268" s="468">
        <f>'YÜKLENİCİ ARAÇLARI'!J261</f>
        <v>79200</v>
      </c>
      <c r="K268" s="468">
        <f>'YÜKLENİCİ ARAÇLARI'!K261</f>
        <v>6600</v>
      </c>
      <c r="L268" s="468">
        <f>'YÜKLENİCİ ARAÇLARI'!L261</f>
        <v>72600</v>
      </c>
    </row>
    <row r="269" spans="1:12" ht="15" thickTop="1" thickBot="1" x14ac:dyDescent="0.3">
      <c r="A269" s="467" t="str">
        <f>'YÜKLENİCİ ARAÇLARI'!A262</f>
        <v>AQUAKRAFT</v>
      </c>
      <c r="B269" s="467" t="str">
        <f>'YÜKLENİCİ ARAÇLARI'!B262</f>
        <v>KARASU //3</v>
      </c>
      <c r="C269" s="467" t="str">
        <f>'YÜKLENİCİ ARAÇLARI'!C262</f>
        <v>MEHMET AVAR</v>
      </c>
      <c r="D269" s="467">
        <f>'YÜKLENİCİ ARAÇLARI'!D262</f>
        <v>0</v>
      </c>
      <c r="E269" s="467" t="str">
        <f>'YÜKLENİCİ ARAÇLARI'!E262</f>
        <v>GRŞ/ÇIK</v>
      </c>
      <c r="F269" s="467">
        <f>'YÜKLENİCİ ARAÇLARI'!F262</f>
        <v>0</v>
      </c>
      <c r="G269" s="468">
        <f>'YÜKLENİCİ ARAÇLARI'!G262</f>
        <v>2000</v>
      </c>
      <c r="H269" s="468">
        <f>'YÜKLENİCİ ARAÇLARI'!H262</f>
        <v>0</v>
      </c>
      <c r="I269" s="468">
        <f>'YÜKLENİCİ ARAÇLARI'!I262</f>
        <v>0</v>
      </c>
      <c r="J269" s="468">
        <f>'YÜKLENİCİ ARAÇLARI'!J262</f>
        <v>0</v>
      </c>
      <c r="K269" s="468">
        <f>'YÜKLENİCİ ARAÇLARI'!K262</f>
        <v>0</v>
      </c>
      <c r="L269" s="468">
        <f>'YÜKLENİCİ ARAÇLARI'!L262</f>
        <v>0</v>
      </c>
    </row>
    <row r="270" spans="1:12" ht="15" thickTop="1" thickBot="1" x14ac:dyDescent="0.3">
      <c r="A270" s="467" t="str">
        <f>'YÜKLENİCİ ARAÇLARI'!A263</f>
        <v>AQUAKRAFT</v>
      </c>
      <c r="B270" s="467" t="str">
        <f>'YÜKLENİCİ ARAÇLARI'!B263</f>
        <v>KARASU //3</v>
      </c>
      <c r="C270" s="467" t="str">
        <f>'YÜKLENİCİ ARAÇLARI'!C263</f>
        <v>MEHMET AVAR</v>
      </c>
      <c r="D270" s="467">
        <f>'YÜKLENİCİ ARAÇLARI'!D263</f>
        <v>0</v>
      </c>
      <c r="E270" s="467" t="str">
        <f>'YÜKLENİCİ ARAÇLARI'!E263</f>
        <v>TEK</v>
      </c>
      <c r="F270" s="467">
        <f>'YÜKLENİCİ ARAÇLARI'!F263</f>
        <v>38</v>
      </c>
      <c r="G270" s="468">
        <f>'YÜKLENİCİ ARAÇLARI'!G263</f>
        <v>1500</v>
      </c>
      <c r="H270" s="468">
        <f>'YÜKLENİCİ ARAÇLARI'!H263</f>
        <v>57000</v>
      </c>
      <c r="I270" s="468">
        <f>'YÜKLENİCİ ARAÇLARI'!I263</f>
        <v>11400</v>
      </c>
      <c r="J270" s="468">
        <f>'YÜKLENİCİ ARAÇLARI'!J263</f>
        <v>68400</v>
      </c>
      <c r="K270" s="468">
        <f>'YÜKLENİCİ ARAÇLARI'!K263</f>
        <v>5700</v>
      </c>
      <c r="L270" s="468">
        <f>'YÜKLENİCİ ARAÇLARI'!L263</f>
        <v>62700</v>
      </c>
    </row>
    <row r="271" spans="1:12" ht="15" thickTop="1" thickBot="1" x14ac:dyDescent="0.3">
      <c r="A271" s="467" t="str">
        <f>'YÜKLENİCİ ARAÇLARI'!A271</f>
        <v>AQUAKRAFT</v>
      </c>
      <c r="B271" s="467" t="str">
        <f>'YÜKLENİCİ ARAÇLARI'!B271</f>
        <v>ADATEPE/YUVALIDERE</v>
      </c>
      <c r="C271" s="467" t="str">
        <f>'YÜKLENİCİ ARAÇLARI'!C271</f>
        <v>MEHMET AVAR</v>
      </c>
      <c r="D271" s="467">
        <f>'YÜKLENİCİ ARAÇLARI'!D271</f>
        <v>0</v>
      </c>
      <c r="E271" s="467" t="str">
        <f>'YÜKLENİCİ ARAÇLARI'!E271</f>
        <v>GRŞ/ÇIK</v>
      </c>
      <c r="F271" s="467">
        <f>'YÜKLENİCİ ARAÇLARI'!F271</f>
        <v>0</v>
      </c>
      <c r="G271" s="468">
        <f>'YÜKLENİCİ ARAÇLARI'!G271</f>
        <v>1750</v>
      </c>
      <c r="H271" s="468">
        <f>'YÜKLENİCİ ARAÇLARI'!H271</f>
        <v>0</v>
      </c>
      <c r="I271" s="468">
        <f>'YÜKLENİCİ ARAÇLARI'!I271</f>
        <v>0</v>
      </c>
      <c r="J271" s="468">
        <f>'YÜKLENİCİ ARAÇLARI'!J271</f>
        <v>0</v>
      </c>
      <c r="K271" s="468">
        <f>'YÜKLENİCİ ARAÇLARI'!K271</f>
        <v>0</v>
      </c>
      <c r="L271" s="468">
        <f>'YÜKLENİCİ ARAÇLARI'!L271</f>
        <v>0</v>
      </c>
    </row>
    <row r="272" spans="1:12" ht="15" thickTop="1" thickBot="1" x14ac:dyDescent="0.3">
      <c r="A272" s="467" t="str">
        <f>'YÜKLENİCİ ARAÇLARI'!A272</f>
        <v>AQUAKRAFT</v>
      </c>
      <c r="B272" s="467" t="str">
        <f>'YÜKLENİCİ ARAÇLARI'!B272</f>
        <v>ADATEPE/YUVALIDERE</v>
      </c>
      <c r="C272" s="467" t="str">
        <f>'YÜKLENİCİ ARAÇLARI'!C272</f>
        <v>MEHMET AVAR</v>
      </c>
      <c r="D272" s="467">
        <f>'YÜKLENİCİ ARAÇLARI'!D272</f>
        <v>0</v>
      </c>
      <c r="E272" s="467" t="str">
        <f>'YÜKLENİCİ ARAÇLARI'!E272</f>
        <v>TEK</v>
      </c>
      <c r="F272" s="467">
        <f>'YÜKLENİCİ ARAÇLARI'!F272</f>
        <v>50</v>
      </c>
      <c r="G272" s="468">
        <f>'YÜKLENİCİ ARAÇLARI'!G272</f>
        <v>1200</v>
      </c>
      <c r="H272" s="468">
        <f>'YÜKLENİCİ ARAÇLARI'!H272</f>
        <v>60000</v>
      </c>
      <c r="I272" s="468">
        <f>'YÜKLENİCİ ARAÇLARI'!I272</f>
        <v>12000</v>
      </c>
      <c r="J272" s="468">
        <f>'YÜKLENİCİ ARAÇLARI'!J272</f>
        <v>72000</v>
      </c>
      <c r="K272" s="468">
        <f>'YÜKLENİCİ ARAÇLARI'!K272</f>
        <v>6000</v>
      </c>
      <c r="L272" s="468">
        <f>'YÜKLENİCİ ARAÇLARI'!L272</f>
        <v>66000</v>
      </c>
    </row>
    <row r="273" spans="1:13" ht="15" thickTop="1" thickBot="1" x14ac:dyDescent="0.3">
      <c r="A273" s="467" t="str">
        <f>'YÜKLENİCİ ARAÇLARI'!A273</f>
        <v>AQUAKRAFT</v>
      </c>
      <c r="B273" s="467" t="str">
        <f>'YÜKLENİCİ ARAÇLARI'!B273</f>
        <v>DA.ÇAYIRI L.DERE S.O</v>
      </c>
      <c r="C273" s="467" t="str">
        <f>'YÜKLENİCİ ARAÇLARI'!C273</f>
        <v>MEHMET AVAR</v>
      </c>
      <c r="D273" s="467">
        <f>'YÜKLENİCİ ARAÇLARI'!D273</f>
        <v>0</v>
      </c>
      <c r="E273" s="467" t="str">
        <f>'YÜKLENİCİ ARAÇLARI'!E273</f>
        <v>GRŞ/ÇIK</v>
      </c>
      <c r="F273" s="467">
        <f>'YÜKLENİCİ ARAÇLARI'!F273</f>
        <v>0</v>
      </c>
      <c r="G273" s="468">
        <f>'YÜKLENİCİ ARAÇLARI'!G273</f>
        <v>1700</v>
      </c>
      <c r="H273" s="468">
        <f>'YÜKLENİCİ ARAÇLARI'!H273</f>
        <v>0</v>
      </c>
      <c r="I273" s="468">
        <f>'YÜKLENİCİ ARAÇLARI'!I273</f>
        <v>0</v>
      </c>
      <c r="J273" s="468">
        <f>'YÜKLENİCİ ARAÇLARI'!J273</f>
        <v>0</v>
      </c>
      <c r="K273" s="468">
        <f>'YÜKLENİCİ ARAÇLARI'!K273</f>
        <v>0</v>
      </c>
      <c r="L273" s="468">
        <f>'YÜKLENİCİ ARAÇLARI'!L273</f>
        <v>0</v>
      </c>
    </row>
    <row r="274" spans="1:13" ht="15" thickTop="1" thickBot="1" x14ac:dyDescent="0.3">
      <c r="A274" s="467" t="str">
        <f>'YÜKLENİCİ ARAÇLARI'!A274</f>
        <v>AQUAKRAFT</v>
      </c>
      <c r="B274" s="467" t="str">
        <f>'YÜKLENİCİ ARAÇLARI'!B274</f>
        <v>DA.ÇAYIRI L.DERE S.O</v>
      </c>
      <c r="C274" s="467" t="str">
        <f>'YÜKLENİCİ ARAÇLARI'!C274</f>
        <v>MEHMET AVAR</v>
      </c>
      <c r="D274" s="467">
        <f>'YÜKLENİCİ ARAÇLARI'!D274</f>
        <v>0</v>
      </c>
      <c r="E274" s="467" t="str">
        <f>'YÜKLENİCİ ARAÇLARI'!E274</f>
        <v>TEK</v>
      </c>
      <c r="F274" s="467">
        <f>'YÜKLENİCİ ARAÇLARI'!F274</f>
        <v>38</v>
      </c>
      <c r="G274" s="468">
        <f>'YÜKLENİCİ ARAÇLARI'!G274</f>
        <v>1100</v>
      </c>
      <c r="H274" s="468">
        <f>'YÜKLENİCİ ARAÇLARI'!H274</f>
        <v>41800</v>
      </c>
      <c r="I274" s="468">
        <f>'YÜKLENİCİ ARAÇLARI'!I274</f>
        <v>8360</v>
      </c>
      <c r="J274" s="468">
        <f>'YÜKLENİCİ ARAÇLARI'!J274</f>
        <v>50160</v>
      </c>
      <c r="K274" s="468">
        <f>'YÜKLENİCİ ARAÇLARI'!K274</f>
        <v>4180</v>
      </c>
      <c r="L274" s="468">
        <f>'YÜKLENİCİ ARAÇLARI'!L274</f>
        <v>45980</v>
      </c>
    </row>
    <row r="275" spans="1:13" ht="15" thickTop="1" thickBot="1" x14ac:dyDescent="0.3">
      <c r="A275" s="474" t="str">
        <f>'YÜKLENİCİ ARAÇLARI'!A264</f>
        <v>AQUAKRAFT</v>
      </c>
      <c r="B275" s="474" t="str">
        <f>'YÜKLENİCİ ARAÇLARI'!B264</f>
        <v>CUMA 2 ARAÇ</v>
      </c>
      <c r="C275" s="474" t="str">
        <f>'YÜKLENİCİ ARAÇLARI'!C264</f>
        <v>MEHMET AVAR</v>
      </c>
      <c r="D275" s="474">
        <f>'YÜKLENİCİ ARAÇLARI'!D264</f>
        <v>0</v>
      </c>
      <c r="E275" s="474" t="str">
        <f>'YÜKLENİCİ ARAÇLARI'!E264</f>
        <v>CUMA</v>
      </c>
      <c r="F275" s="474">
        <f>'YÜKLENİCİ ARAÇLARI'!F264</f>
        <v>6</v>
      </c>
      <c r="G275" s="475">
        <f>'YÜKLENİCİ ARAÇLARI'!G264</f>
        <v>1000</v>
      </c>
      <c r="H275" s="476">
        <f>'YÜKLENİCİ ARAÇLARI'!H264</f>
        <v>6000</v>
      </c>
      <c r="I275" s="476">
        <f>'YÜKLENİCİ ARAÇLARI'!I264</f>
        <v>1200</v>
      </c>
      <c r="J275" s="476">
        <f>'YÜKLENİCİ ARAÇLARI'!J264</f>
        <v>7200</v>
      </c>
      <c r="K275" s="476">
        <f>'YÜKLENİCİ ARAÇLARI'!K264</f>
        <v>600</v>
      </c>
      <c r="L275" s="476">
        <f>'YÜKLENİCİ ARAÇLARI'!L264</f>
        <v>6600</v>
      </c>
      <c r="M275" s="173" t="s">
        <v>590</v>
      </c>
    </row>
    <row r="276" spans="1:13" ht="16.2" thickTop="1" thickBot="1" x14ac:dyDescent="0.3">
      <c r="H276" s="263">
        <f>SUM(H259:H275)</f>
        <v>505800</v>
      </c>
      <c r="I276" s="263">
        <f>SUM(I259:I275)</f>
        <v>101160</v>
      </c>
      <c r="J276" s="263">
        <f>SUM(J259:J275)</f>
        <v>606960</v>
      </c>
      <c r="K276" s="263">
        <f>SUM(K259:K275)</f>
        <v>50580</v>
      </c>
      <c r="L276" s="263">
        <f>SUM(L259:L275)</f>
        <v>556380</v>
      </c>
    </row>
    <row r="277" spans="1:13" ht="18.600000000000001" thickTop="1" thickBot="1" x14ac:dyDescent="0.35">
      <c r="A277" s="529" t="s">
        <v>18</v>
      </c>
      <c r="B277" s="529"/>
      <c r="C277" s="529"/>
      <c r="D277" s="181"/>
    </row>
    <row r="278" spans="1:13" ht="15" thickTop="1" thickBot="1" x14ac:dyDescent="0.3">
      <c r="A278" s="467" t="str">
        <f>'YÜKLENİCİ ARAÇLARI'!A16</f>
        <v>BAŞAK TRAKTÖR</v>
      </c>
      <c r="B278" s="467" t="str">
        <f>'YÜKLENİCİ ARAÇLARI'!B16</f>
        <v>KURTKÖY SAPANCA</v>
      </c>
      <c r="C278" s="467" t="str">
        <f>'YÜKLENİCİ ARAÇLARI'!C16</f>
        <v>MEHMET SERDAROĞLU</v>
      </c>
      <c r="D278" s="467"/>
      <c r="E278" s="467" t="str">
        <f>'YÜKLENİCİ ARAÇLARI'!E16</f>
        <v>GRŞ/ÇKŞ</v>
      </c>
      <c r="F278" s="467">
        <f>'YÜKLENİCİ ARAÇLARI'!F16</f>
        <v>19</v>
      </c>
      <c r="G278" s="468">
        <f>'YÜKLENİCİ ARAÇLARI'!G16</f>
        <v>2750</v>
      </c>
      <c r="H278" s="468">
        <f>'YÜKLENİCİ ARAÇLARI'!H16</f>
        <v>52250</v>
      </c>
      <c r="I278" s="468">
        <f>'YÜKLENİCİ ARAÇLARI'!I16</f>
        <v>10450</v>
      </c>
      <c r="J278" s="468">
        <f>'YÜKLENİCİ ARAÇLARI'!J16</f>
        <v>62700</v>
      </c>
      <c r="K278" s="468">
        <f>'YÜKLENİCİ ARAÇLARI'!K16</f>
        <v>5225</v>
      </c>
      <c r="L278" s="468">
        <f>'YÜKLENİCİ ARAÇLARI'!L16</f>
        <v>57475</v>
      </c>
      <c r="M278" s="173" t="s">
        <v>584</v>
      </c>
    </row>
    <row r="279" spans="1:13" ht="13.95" customHeight="1" thickTop="1" thickBot="1" x14ac:dyDescent="0.3">
      <c r="A279" s="467" t="str">
        <f>'YÜKLENİCİ ARAÇLARI'!A17</f>
        <v>BAŞAK TRAKTÖR</v>
      </c>
      <c r="B279" s="467" t="str">
        <f>'YÜKLENİCİ ARAÇLARI'!B17</f>
        <v>20:30 MESAİ</v>
      </c>
      <c r="C279" s="467" t="str">
        <f>'YÜKLENİCİ ARAÇLARI'!C17</f>
        <v>MEHMET SERDAROĞLU</v>
      </c>
      <c r="D279" s="467"/>
      <c r="E279" s="467" t="str">
        <f>'YÜKLENİCİ ARAÇLARI'!E17</f>
        <v>MESAİ</v>
      </c>
      <c r="F279" s="467">
        <f>'YÜKLENİCİ ARAÇLARI'!F17</f>
        <v>0</v>
      </c>
      <c r="G279" s="468">
        <f>'YÜKLENİCİ ARAÇLARI'!G17</f>
        <v>0</v>
      </c>
      <c r="H279" s="469">
        <f>'YÜKLENİCİ ARAÇLARI'!H17</f>
        <v>0</v>
      </c>
      <c r="I279" s="469">
        <f>'YÜKLENİCİ ARAÇLARI'!I17</f>
        <v>0</v>
      </c>
      <c r="J279" s="469">
        <f>'YÜKLENİCİ ARAÇLARI'!J17</f>
        <v>0</v>
      </c>
      <c r="K279" s="469">
        <f>'YÜKLENİCİ ARAÇLARI'!K17</f>
        <v>0</v>
      </c>
      <c r="L279" s="469">
        <f>'YÜKLENİCİ ARAÇLARI'!L17</f>
        <v>0</v>
      </c>
    </row>
    <row r="280" spans="1:13" ht="16.2" thickTop="1" thickBot="1" x14ac:dyDescent="0.3">
      <c r="H280" s="263">
        <f>SUM(H278:H279)</f>
        <v>52250</v>
      </c>
      <c r="I280" s="263">
        <f t="shared" ref="I280:L280" si="43">SUM(I278:I279)</f>
        <v>10450</v>
      </c>
      <c r="J280" s="263">
        <f t="shared" si="43"/>
        <v>62700</v>
      </c>
      <c r="K280" s="263">
        <f t="shared" si="43"/>
        <v>5225</v>
      </c>
      <c r="L280" s="263">
        <f t="shared" si="43"/>
        <v>57475</v>
      </c>
    </row>
    <row r="281" spans="1:13" ht="18.600000000000001" thickTop="1" thickBot="1" x14ac:dyDescent="0.35">
      <c r="A281" s="529" t="s">
        <v>288</v>
      </c>
      <c r="B281" s="529"/>
      <c r="C281" s="529"/>
      <c r="D281" s="181"/>
    </row>
    <row r="282" spans="1:13" ht="21.6" customHeight="1" thickTop="1" thickBot="1" x14ac:dyDescent="0.3">
      <c r="A282" s="491" t="str">
        <f>'YÜKLENİCİ ARAÇLARI'!A236</f>
        <v>BURDA BEBEK</v>
      </c>
      <c r="B282" s="491" t="str">
        <f>'YÜKLENİCİ ARAÇLARI'!B236</f>
        <v>HENDEK RASİMPAŞA</v>
      </c>
      <c r="C282" s="491" t="str">
        <f>'YÜKLENİCİ ARAÇLARI'!C236</f>
        <v>MEHTAP ÖZCAN</v>
      </c>
      <c r="D282" s="491" t="str">
        <f>'YÜKLENİCİ ARAÇLARI'!D236</f>
        <v>54 S 0216</v>
      </c>
      <c r="E282" s="491" t="str">
        <f>'YÜKLENİCİ ARAÇLARI'!E236</f>
        <v>GRŞ/ÇK/TEK</v>
      </c>
      <c r="F282" s="491">
        <f>'YÜKLENİCİ ARAÇLARI'!F236</f>
        <v>10</v>
      </c>
      <c r="G282" s="492">
        <f>'YÜKLENİCİ ARAÇLARI'!G236</f>
        <v>900</v>
      </c>
      <c r="H282" s="492">
        <f>'YÜKLENİCİ ARAÇLARI'!H236</f>
        <v>9000</v>
      </c>
      <c r="I282" s="492">
        <f>'YÜKLENİCİ ARAÇLARI'!I236</f>
        <v>1800</v>
      </c>
      <c r="J282" s="492">
        <f>'YÜKLENİCİ ARAÇLARI'!J236</f>
        <v>10800</v>
      </c>
      <c r="K282" s="492">
        <f>'YÜKLENİCİ ARAÇLARI'!K236</f>
        <v>900</v>
      </c>
      <c r="L282" s="492">
        <f>'YÜKLENİCİ ARAÇLARI'!L236</f>
        <v>9900</v>
      </c>
    </row>
    <row r="283" spans="1:13" ht="18.600000000000001" customHeight="1" thickTop="1" thickBot="1" x14ac:dyDescent="0.3">
      <c r="A283" s="467" t="str">
        <f>'YÜKLENİCİ ARAÇLARI'!A239</f>
        <v>BURDA BEBEK</v>
      </c>
      <c r="B283" s="467" t="str">
        <f>'YÜKLENİCİ ARAÇLARI'!B239</f>
        <v>KÖPRÜBAŞI</v>
      </c>
      <c r="C283" s="467" t="str">
        <f>'YÜKLENİCİ ARAÇLARI'!C239</f>
        <v>MEHTAP ÖZCAN</v>
      </c>
      <c r="D283" s="467" t="str">
        <f>'YÜKLENİCİ ARAÇLARI'!D239</f>
        <v>54 S 0216</v>
      </c>
      <c r="E283" s="467" t="str">
        <f>'YÜKLENİCİ ARAÇLARI'!E239</f>
        <v>VRD</v>
      </c>
      <c r="F283" s="467">
        <f>'YÜKLENİCİ ARAÇLARI'!F239</f>
        <v>72</v>
      </c>
      <c r="G283" s="468">
        <f>'YÜKLENİCİ ARAÇLARI'!G239</f>
        <v>550</v>
      </c>
      <c r="H283" s="469">
        <f>'YÜKLENİCİ ARAÇLARI'!H239</f>
        <v>39600</v>
      </c>
      <c r="I283" s="469">
        <f>'YÜKLENİCİ ARAÇLARI'!I239</f>
        <v>7920</v>
      </c>
      <c r="J283" s="469">
        <f>'YÜKLENİCİ ARAÇLARI'!J239</f>
        <v>47520</v>
      </c>
      <c r="K283" s="469">
        <f>'YÜKLENİCİ ARAÇLARI'!K239</f>
        <v>3960</v>
      </c>
      <c r="L283" s="469">
        <f>'YÜKLENİCİ ARAÇLARI'!L239</f>
        <v>43560</v>
      </c>
    </row>
    <row r="284" spans="1:13" ht="21.6" customHeight="1" thickTop="1" thickBot="1" x14ac:dyDescent="0.3">
      <c r="H284" s="263">
        <f>SUM(H282:H283)</f>
        <v>48600</v>
      </c>
      <c r="I284" s="263">
        <f>SUM(I282:I283)</f>
        <v>9720</v>
      </c>
      <c r="J284" s="263">
        <f>SUM(J282:J283)</f>
        <v>58320</v>
      </c>
      <c r="K284" s="263">
        <f>SUM(K282:K283)</f>
        <v>4860</v>
      </c>
      <c r="L284" s="263">
        <f>SUM(L282:L283)</f>
        <v>53460</v>
      </c>
    </row>
    <row r="285" spans="1:13" ht="18.600000000000001" thickTop="1" thickBot="1" x14ac:dyDescent="0.35">
      <c r="A285" s="529" t="s">
        <v>507</v>
      </c>
      <c r="B285" s="529"/>
      <c r="C285" s="529"/>
      <c r="D285" s="181"/>
    </row>
    <row r="286" spans="1:13" ht="15" thickTop="1" thickBot="1" x14ac:dyDescent="0.3">
      <c r="A286" s="467" t="str">
        <f>'YÜKLENİCİ ARAÇLARI'!A218</f>
        <v>TAVSAN</v>
      </c>
      <c r="B286" s="467" t="str">
        <f>'YÜKLENİCİ ARAÇLARI'!B218</f>
        <v>HENDEK 3</v>
      </c>
      <c r="C286" s="467" t="str">
        <f>'YÜKLENİCİ ARAÇLARI'!C218</f>
        <v>EMRAH ESEN</v>
      </c>
      <c r="D286" s="467">
        <f>'YÜKLENİCİ ARAÇLARI'!D218</f>
        <v>0</v>
      </c>
      <c r="E286" s="467" t="str">
        <f>'YÜKLENİCİ ARAÇLARI'!E218</f>
        <v>GRŞ/ÇIKIŞ</v>
      </c>
      <c r="F286" s="467">
        <f>'YÜKLENİCİ ARAÇLARI'!F218</f>
        <v>25</v>
      </c>
      <c r="G286" s="468">
        <f>'YÜKLENİCİ ARAÇLARI'!G218</f>
        <v>1800</v>
      </c>
      <c r="H286" s="468">
        <f>'YÜKLENİCİ ARAÇLARI'!H218</f>
        <v>45000</v>
      </c>
      <c r="I286" s="468">
        <f>'YÜKLENİCİ ARAÇLARI'!I218</f>
        <v>9000</v>
      </c>
      <c r="J286" s="468">
        <f>'YÜKLENİCİ ARAÇLARI'!J218</f>
        <v>54000</v>
      </c>
      <c r="K286" s="468">
        <f>'YÜKLENİCİ ARAÇLARI'!K218</f>
        <v>4500</v>
      </c>
      <c r="L286" s="468">
        <f>'YÜKLENİCİ ARAÇLARI'!L218</f>
        <v>49500</v>
      </c>
    </row>
    <row r="287" spans="1:13" ht="15" thickTop="1" thickBot="1" x14ac:dyDescent="0.3">
      <c r="A287" s="467" t="str">
        <f>'YÜKLENİCİ ARAÇLARI'!A219</f>
        <v>TAVSAN</v>
      </c>
      <c r="B287" s="467" t="str">
        <f>'YÜKLENİCİ ARAÇLARI'!B219</f>
        <v>HENDEK 3</v>
      </c>
      <c r="C287" s="467" t="str">
        <f>'YÜKLENİCİ ARAÇLARI'!C219</f>
        <v>EMRAH ESEN</v>
      </c>
      <c r="D287" s="467">
        <f>'YÜKLENİCİ ARAÇLARI'!D219</f>
        <v>0</v>
      </c>
      <c r="E287" s="467" t="str">
        <f>'YÜKLENİCİ ARAÇLARI'!E219</f>
        <v>MESAİ</v>
      </c>
      <c r="F287" s="467">
        <f>'YÜKLENİCİ ARAÇLARI'!F219</f>
        <v>8</v>
      </c>
      <c r="G287" s="468">
        <f>'YÜKLENİCİ ARAÇLARI'!G219</f>
        <v>1160</v>
      </c>
      <c r="H287" s="468">
        <f>'YÜKLENİCİ ARAÇLARI'!H219</f>
        <v>9280</v>
      </c>
      <c r="I287" s="468">
        <f>'YÜKLENİCİ ARAÇLARI'!I219</f>
        <v>1856</v>
      </c>
      <c r="J287" s="468">
        <f>'YÜKLENİCİ ARAÇLARI'!J219</f>
        <v>11136</v>
      </c>
      <c r="K287" s="468">
        <f>'YÜKLENİCİ ARAÇLARI'!K219</f>
        <v>928</v>
      </c>
      <c r="L287" s="468">
        <f>'YÜKLENİCİ ARAÇLARI'!L219</f>
        <v>10208</v>
      </c>
    </row>
    <row r="288" spans="1:13" ht="15" thickTop="1" thickBot="1" x14ac:dyDescent="0.3">
      <c r="A288" s="467" t="str">
        <f>'YÜKLENİCİ ARAÇLARI'!A220</f>
        <v>TAVSAN</v>
      </c>
      <c r="B288" s="467" t="str">
        <f>'YÜKLENİCİ ARAÇLARI'!B220</f>
        <v>HENDEK 3</v>
      </c>
      <c r="C288" s="467" t="str">
        <f>'YÜKLENİCİ ARAÇLARI'!C220</f>
        <v>EMRAH ESEN</v>
      </c>
      <c r="D288" s="467">
        <f>'YÜKLENİCİ ARAÇLARI'!D220</f>
        <v>0</v>
      </c>
      <c r="E288" s="467" t="str">
        <f>'YÜKLENİCİ ARAÇLARI'!E220</f>
        <v xml:space="preserve">VRD </v>
      </c>
      <c r="F288" s="467">
        <f>'YÜKLENİCİ ARAÇLARI'!F220</f>
        <v>39</v>
      </c>
      <c r="G288" s="468">
        <f>'YÜKLENİCİ ARAÇLARI'!G220</f>
        <v>1160</v>
      </c>
      <c r="H288" s="468">
        <f>'YÜKLENİCİ ARAÇLARI'!H220</f>
        <v>45240</v>
      </c>
      <c r="I288" s="468">
        <f>'YÜKLENİCİ ARAÇLARI'!I220</f>
        <v>9048</v>
      </c>
      <c r="J288" s="468">
        <f>'YÜKLENİCİ ARAÇLARI'!J220</f>
        <v>54288</v>
      </c>
      <c r="K288" s="468">
        <f>'YÜKLENİCİ ARAÇLARI'!K220</f>
        <v>4524</v>
      </c>
      <c r="L288" s="468">
        <f>'YÜKLENİCİ ARAÇLARI'!L220</f>
        <v>49764</v>
      </c>
    </row>
    <row r="289" spans="1:12" s="186" customFormat="1" ht="19.2" hidden="1" customHeight="1" thickTop="1" thickBot="1" x14ac:dyDescent="0.3">
      <c r="A289" s="467" t="str">
        <f>'YÜKLENİCİ ARAÇLARI'!A221</f>
        <v>TAVSAN</v>
      </c>
      <c r="B289" s="477" t="s">
        <v>134</v>
      </c>
      <c r="C289" s="477"/>
      <c r="D289" s="477"/>
      <c r="E289" s="477" t="s">
        <v>272</v>
      </c>
      <c r="F289" s="272">
        <v>1</v>
      </c>
      <c r="G289" s="273"/>
      <c r="H289" s="273">
        <f t="shared" ref="H289" si="44">F289*G289</f>
        <v>0</v>
      </c>
      <c r="I289" s="273">
        <f t="shared" ref="I289" si="45">H289*0.2</f>
        <v>0</v>
      </c>
      <c r="J289" s="273">
        <f t="shared" ref="J289" si="46">SUM(H289:I289)</f>
        <v>0</v>
      </c>
      <c r="K289" s="273">
        <f>H289*0.1</f>
        <v>0</v>
      </c>
      <c r="L289" s="273">
        <f t="shared" ref="L289" si="47">H289+K289</f>
        <v>0</v>
      </c>
    </row>
    <row r="290" spans="1:12" s="186" customFormat="1" ht="18" customHeight="1" thickTop="1" thickBot="1" x14ac:dyDescent="0.3">
      <c r="A290" s="467" t="str">
        <f>'YÜKLENİCİ ARAÇLARI'!A221</f>
        <v>TAVSAN</v>
      </c>
      <c r="B290" s="467" t="str">
        <f>'YÜKLENİCİ ARAÇLARI'!B221</f>
        <v>HENDEK 3</v>
      </c>
      <c r="C290" s="467" t="str">
        <f>'YÜKLENİCİ ARAÇLARI'!C221</f>
        <v>EMRAH ESEN</v>
      </c>
      <c r="D290" s="467">
        <f>'YÜKLENİCİ ARAÇLARI'!D221</f>
        <v>0</v>
      </c>
      <c r="E290" s="467" t="str">
        <f>'YÜKLENİCİ ARAÇLARI'!E221</f>
        <v>CUMA</v>
      </c>
      <c r="F290" s="467">
        <f>'YÜKLENİCİ ARAÇLARI'!F221</f>
        <v>3</v>
      </c>
      <c r="G290" s="468">
        <f>'YÜKLENİCİ ARAÇLARI'!G221</f>
        <v>900</v>
      </c>
      <c r="H290" s="469">
        <f>'YÜKLENİCİ ARAÇLARI'!H221</f>
        <v>2700</v>
      </c>
      <c r="I290" s="469">
        <f>'YÜKLENİCİ ARAÇLARI'!I221</f>
        <v>540</v>
      </c>
      <c r="J290" s="469">
        <f>'YÜKLENİCİ ARAÇLARI'!J221</f>
        <v>3240</v>
      </c>
      <c r="K290" s="469">
        <f>'YÜKLENİCİ ARAÇLARI'!K221</f>
        <v>270</v>
      </c>
      <c r="L290" s="469">
        <f>'YÜKLENİCİ ARAÇLARI'!L221</f>
        <v>2970</v>
      </c>
    </row>
    <row r="291" spans="1:12" ht="16.2" thickTop="1" thickBot="1" x14ac:dyDescent="0.3">
      <c r="F291" s="312"/>
      <c r="G291" s="274"/>
      <c r="H291" s="262">
        <f>SUM(H286:H290)</f>
        <v>102220</v>
      </c>
      <c r="I291" s="262">
        <f t="shared" ref="I291:L291" si="48">SUM(I286:I290)</f>
        <v>20444</v>
      </c>
      <c r="J291" s="262">
        <f t="shared" si="48"/>
        <v>122664</v>
      </c>
      <c r="K291" s="262">
        <f t="shared" si="48"/>
        <v>10222</v>
      </c>
      <c r="L291" s="262">
        <f t="shared" si="48"/>
        <v>112442</v>
      </c>
    </row>
    <row r="292" spans="1:12" ht="18.600000000000001" thickTop="1" thickBot="1" x14ac:dyDescent="0.35">
      <c r="A292" s="529" t="s">
        <v>299</v>
      </c>
      <c r="B292" s="529"/>
      <c r="C292" s="529"/>
      <c r="D292" s="181"/>
    </row>
    <row r="293" spans="1:12" s="218" customFormat="1" ht="15" thickTop="1" thickBot="1" x14ac:dyDescent="0.3">
      <c r="A293" s="216" t="str">
        <f>'YÜKLENİCİ ARAÇLARI'!A89</f>
        <v>ALYAN GIDA</v>
      </c>
      <c r="B293" s="216" t="str">
        <f>'YÜKLENİCİ ARAÇLARI'!B89</f>
        <v>HENDEK YENİMAHALLE  SGK 2</v>
      </c>
      <c r="C293" s="216" t="str">
        <f>'YÜKLENİCİ ARAÇLARI'!C89</f>
        <v>MUSTAFA KARAGÜZEL</v>
      </c>
      <c r="D293" s="216" t="str">
        <f>'YÜKLENİCİ ARAÇLARI'!D89</f>
        <v>54 S 1291</v>
      </c>
      <c r="E293" s="216" t="str">
        <f>'YÜKLENİCİ ARAÇLARI'!E89</f>
        <v>ÇİFT</v>
      </c>
      <c r="F293" s="216">
        <f>'YÜKLENİCİ ARAÇLARI'!F89</f>
        <v>42</v>
      </c>
      <c r="G293" s="217">
        <f>'YÜKLENİCİ ARAÇLARI'!G89</f>
        <v>1100</v>
      </c>
      <c r="H293" s="217">
        <f>'YÜKLENİCİ ARAÇLARI'!H89</f>
        <v>46200</v>
      </c>
      <c r="I293" s="217">
        <f>'YÜKLENİCİ ARAÇLARI'!I89</f>
        <v>9240</v>
      </c>
      <c r="J293" s="217">
        <f>'YÜKLENİCİ ARAÇLARI'!J89</f>
        <v>55440</v>
      </c>
      <c r="K293" s="217">
        <f>'YÜKLENİCİ ARAÇLARI'!K89</f>
        <v>4620</v>
      </c>
      <c r="L293" s="217">
        <f>'YÜKLENİCİ ARAÇLARI'!L89</f>
        <v>50820</v>
      </c>
    </row>
    <row r="294" spans="1:12" s="218" customFormat="1" ht="15" thickTop="1" thickBot="1" x14ac:dyDescent="0.3">
      <c r="A294" s="216" t="str">
        <f>'YÜKLENİCİ ARAÇLARI'!A90</f>
        <v>ALYAN GIDA</v>
      </c>
      <c r="B294" s="216" t="str">
        <f>'YÜKLENİCİ ARAÇLARI'!B90</f>
        <v>HENDEK YENİMAHALLE  SGK 2</v>
      </c>
      <c r="C294" s="216" t="str">
        <f>'YÜKLENİCİ ARAÇLARI'!C90</f>
        <v>MUSTAFA KARAGÜZEL</v>
      </c>
      <c r="D294" s="216" t="str">
        <f>'YÜKLENİCİ ARAÇLARI'!D90</f>
        <v>54 S 1291</v>
      </c>
      <c r="E294" s="216" t="str">
        <f>'YÜKLENİCİ ARAÇLARI'!E90</f>
        <v>TEK</v>
      </c>
      <c r="F294" s="216">
        <f>'YÜKLENİCİ ARAÇLARI'!F90</f>
        <v>8</v>
      </c>
      <c r="G294" s="217">
        <f>'YÜKLENİCİ ARAÇLARI'!G90</f>
        <v>900</v>
      </c>
      <c r="H294" s="217">
        <f>'YÜKLENİCİ ARAÇLARI'!H90</f>
        <v>7200</v>
      </c>
      <c r="I294" s="217">
        <f>'YÜKLENİCİ ARAÇLARI'!I90</f>
        <v>1440</v>
      </c>
      <c r="J294" s="217">
        <f>'YÜKLENİCİ ARAÇLARI'!J90</f>
        <v>8640</v>
      </c>
      <c r="K294" s="217">
        <f>'YÜKLENİCİ ARAÇLARI'!K90</f>
        <v>720</v>
      </c>
      <c r="L294" s="217">
        <f>'YÜKLENİCİ ARAÇLARI'!L90</f>
        <v>7920</v>
      </c>
    </row>
    <row r="295" spans="1:12" s="218" customFormat="1" ht="14.4" customHeight="1" thickTop="1" thickBot="1" x14ac:dyDescent="0.3">
      <c r="A295" s="216" t="str">
        <f>'YÜKLENİCİ ARAÇLARI'!A91</f>
        <v>ALYAN GIDA</v>
      </c>
      <c r="B295" s="216" t="str">
        <f>'YÜKLENİCİ ARAÇLARI'!B91</f>
        <v>HENDEK DÜZYAZI/PUNA</v>
      </c>
      <c r="C295" s="216" t="str">
        <f>'YÜKLENİCİ ARAÇLARI'!C91</f>
        <v>MUSTAFA KARAGÜZEL</v>
      </c>
      <c r="D295" s="216" t="str">
        <f>'YÜKLENİCİ ARAÇLARI'!D91</f>
        <v>54 S 1646</v>
      </c>
      <c r="E295" s="216" t="str">
        <f>'YÜKLENİCİ ARAÇLARI'!E91</f>
        <v>ÇİFT</v>
      </c>
      <c r="F295" s="216">
        <f>'YÜKLENİCİ ARAÇLARI'!F91</f>
        <v>0</v>
      </c>
      <c r="G295" s="217">
        <f>'YÜKLENİCİ ARAÇLARI'!G91</f>
        <v>1250</v>
      </c>
      <c r="H295" s="217">
        <f>'YÜKLENİCİ ARAÇLARI'!H91</f>
        <v>0</v>
      </c>
      <c r="I295" s="217">
        <f>'YÜKLENİCİ ARAÇLARI'!I91</f>
        <v>0</v>
      </c>
      <c r="J295" s="217">
        <f>'YÜKLENİCİ ARAÇLARI'!J91</f>
        <v>0</v>
      </c>
      <c r="K295" s="217">
        <f>'YÜKLENİCİ ARAÇLARI'!K91</f>
        <v>0</v>
      </c>
      <c r="L295" s="217">
        <f>'YÜKLENİCİ ARAÇLARI'!L91</f>
        <v>0</v>
      </c>
    </row>
    <row r="296" spans="1:12" s="218" customFormat="1" ht="15" thickTop="1" thickBot="1" x14ac:dyDescent="0.3">
      <c r="A296" s="216" t="str">
        <f>'YÜKLENİCİ ARAÇLARI'!A92</f>
        <v>ALYAN GIDA</v>
      </c>
      <c r="B296" s="216" t="str">
        <f>'YÜKLENİCİ ARAÇLARI'!B92</f>
        <v>HENDEK DÜZYAZI/PUNA</v>
      </c>
      <c r="C296" s="216" t="str">
        <f>'YÜKLENİCİ ARAÇLARI'!C92</f>
        <v>MUSTAFA KARAGÜZEL</v>
      </c>
      <c r="D296" s="216" t="str">
        <f>'YÜKLENİCİ ARAÇLARI'!D92</f>
        <v>54 S 1646</v>
      </c>
      <c r="E296" s="216" t="str">
        <f>'YÜKLENİCİ ARAÇLARI'!E92</f>
        <v>TEK</v>
      </c>
      <c r="F296" s="216">
        <f>'YÜKLENİCİ ARAÇLARI'!F92</f>
        <v>32</v>
      </c>
      <c r="G296" s="217">
        <f>'YÜKLENİCİ ARAÇLARI'!G92</f>
        <v>1000</v>
      </c>
      <c r="H296" s="217">
        <f>'YÜKLENİCİ ARAÇLARI'!H92</f>
        <v>32000</v>
      </c>
      <c r="I296" s="217">
        <f>'YÜKLENİCİ ARAÇLARI'!I92</f>
        <v>6400</v>
      </c>
      <c r="J296" s="217">
        <f>'YÜKLENİCİ ARAÇLARI'!J92</f>
        <v>38400</v>
      </c>
      <c r="K296" s="217">
        <f>'YÜKLENİCİ ARAÇLARI'!K92</f>
        <v>3200</v>
      </c>
      <c r="L296" s="217">
        <f>'YÜKLENİCİ ARAÇLARI'!L92</f>
        <v>35200</v>
      </c>
    </row>
    <row r="297" spans="1:12" s="218" customFormat="1" ht="15" thickTop="1" thickBot="1" x14ac:dyDescent="0.3">
      <c r="A297" s="216" t="str">
        <f>'YÜKLENİCİ ARAÇLARI'!A115</f>
        <v>GEDİK DÖKÜM</v>
      </c>
      <c r="B297" s="216" t="str">
        <f>'YÜKLENİCİ ARAÇLARI'!B115</f>
        <v>HENDEK 3//Y.MAHALLE</v>
      </c>
      <c r="C297" s="216" t="str">
        <f>'YÜKLENİCİ ARAÇLARI'!C115</f>
        <v>MUSTAFA KARAGÜZEL</v>
      </c>
      <c r="D297" s="216" t="str">
        <f>'YÜKLENİCİ ARAÇLARI'!D115</f>
        <v>54 S 2701</v>
      </c>
      <c r="E297" s="216" t="str">
        <f>'YÜKLENİCİ ARAÇLARI'!E115</f>
        <v>GRŞ/ÇKŞ</v>
      </c>
      <c r="F297" s="216">
        <f>'YÜKLENİCİ ARAÇLARI'!F115</f>
        <v>14</v>
      </c>
      <c r="G297" s="217">
        <f>'YÜKLENİCİ ARAÇLARI'!G115</f>
        <v>1800</v>
      </c>
      <c r="H297" s="217">
        <f>'YÜKLENİCİ ARAÇLARI'!H115</f>
        <v>25200</v>
      </c>
      <c r="I297" s="217">
        <f>'YÜKLENİCİ ARAÇLARI'!I115</f>
        <v>5040</v>
      </c>
      <c r="J297" s="217">
        <f>'YÜKLENİCİ ARAÇLARI'!J115</f>
        <v>30240</v>
      </c>
      <c r="K297" s="217">
        <f>'YÜKLENİCİ ARAÇLARI'!K115</f>
        <v>2520</v>
      </c>
      <c r="L297" s="217">
        <f>'YÜKLENİCİ ARAÇLARI'!L115</f>
        <v>27720</v>
      </c>
    </row>
    <row r="298" spans="1:12" s="218" customFormat="1" ht="15" thickTop="1" thickBot="1" x14ac:dyDescent="0.3">
      <c r="A298" s="216" t="str">
        <f>'YÜKLENİCİ ARAÇLARI'!A116</f>
        <v>GEDİK DÖKÜM</v>
      </c>
      <c r="B298" s="216" t="str">
        <f>'YÜKLENİCİ ARAÇLARI'!B116</f>
        <v>HENDEK 3//Y.MAHALLE</v>
      </c>
      <c r="C298" s="216" t="str">
        <f>'YÜKLENİCİ ARAÇLARI'!C116</f>
        <v>MUSTAFA KARAGÜZEL</v>
      </c>
      <c r="D298" s="216" t="str">
        <f>'YÜKLENİCİ ARAÇLARI'!D116</f>
        <v>54 S 2701</v>
      </c>
      <c r="E298" s="216" t="str">
        <f>'YÜKLENİCİ ARAÇLARI'!E116</f>
        <v>MESAİ</v>
      </c>
      <c r="F298" s="216">
        <f>'YÜKLENİCİ ARAÇLARI'!F116</f>
        <v>40</v>
      </c>
      <c r="G298" s="217">
        <f>'YÜKLENİCİ ARAÇLARI'!G116</f>
        <v>1250</v>
      </c>
      <c r="H298" s="217">
        <f>'YÜKLENİCİ ARAÇLARI'!H116</f>
        <v>50000</v>
      </c>
      <c r="I298" s="217">
        <f>'YÜKLENİCİ ARAÇLARI'!I116</f>
        <v>10000</v>
      </c>
      <c r="J298" s="217">
        <f>'YÜKLENİCİ ARAÇLARI'!J116</f>
        <v>60000</v>
      </c>
      <c r="K298" s="217">
        <f>'YÜKLENİCİ ARAÇLARI'!K116</f>
        <v>5000</v>
      </c>
      <c r="L298" s="217">
        <f>'YÜKLENİCİ ARAÇLARI'!L116</f>
        <v>55000</v>
      </c>
    </row>
    <row r="299" spans="1:12" s="218" customFormat="1" ht="15" thickTop="1" thickBot="1" x14ac:dyDescent="0.3">
      <c r="A299" s="216" t="str">
        <f>'YÜKLENİCİ ARAÇLARI'!A117</f>
        <v>GEDİK DÖKÜM</v>
      </c>
      <c r="B299" s="216" t="str">
        <f>'YÜKLENİCİ ARAÇLARI'!B117</f>
        <v>HENDEK 3//Y.MAHALLE</v>
      </c>
      <c r="C299" s="216" t="str">
        <f>'YÜKLENİCİ ARAÇLARI'!C117</f>
        <v>MUSTAFA KARAGÜZEL</v>
      </c>
      <c r="D299" s="216"/>
      <c r="E299" s="216" t="str">
        <f>'YÜKLENİCİ ARAÇLARI'!E117</f>
        <v>VRD</v>
      </c>
      <c r="F299" s="216">
        <f>'YÜKLENİCİ ARAÇLARI'!F117</f>
        <v>25</v>
      </c>
      <c r="G299" s="323">
        <f>'YÜKLENİCİ ARAÇLARI'!G117</f>
        <v>800</v>
      </c>
      <c r="H299" s="323">
        <f>'YÜKLENİCİ ARAÇLARI'!H117</f>
        <v>20000</v>
      </c>
      <c r="I299" s="323">
        <f>'YÜKLENİCİ ARAÇLARI'!I117</f>
        <v>4000</v>
      </c>
      <c r="J299" s="323">
        <f>'YÜKLENİCİ ARAÇLARI'!J117</f>
        <v>24000</v>
      </c>
      <c r="K299" s="323">
        <f>'YÜKLENİCİ ARAÇLARI'!K117</f>
        <v>2000</v>
      </c>
      <c r="L299" s="323">
        <f>'YÜKLENİCİ ARAÇLARI'!L117</f>
        <v>22000</v>
      </c>
    </row>
    <row r="300" spans="1:12" s="218" customFormat="1" ht="15" thickTop="1" thickBot="1" x14ac:dyDescent="0.3">
      <c r="A300" s="216" t="str">
        <f>'YÜKLENİCİ ARAÇLARI'!A118</f>
        <v>GEDİK DÖKÜM</v>
      </c>
      <c r="B300" s="216" t="str">
        <f>'YÜKLENİCİ ARAÇLARI'!B118</f>
        <v>HENDEK4//PUNA</v>
      </c>
      <c r="C300" s="216" t="str">
        <f>'YÜKLENİCİ ARAÇLARI'!C118</f>
        <v>MUSTAFA KARAGÜZEL</v>
      </c>
      <c r="D300" s="216" t="str">
        <f>'YÜKLENİCİ ARAÇLARI'!D118</f>
        <v>54 S 2005</v>
      </c>
      <c r="E300" s="216" t="str">
        <f>'YÜKLENİCİ ARAÇLARI'!E118</f>
        <v>GRŞ/ÇKŞ</v>
      </c>
      <c r="F300" s="216">
        <f>'YÜKLENİCİ ARAÇLARI'!F118</f>
        <v>18</v>
      </c>
      <c r="G300" s="217">
        <f>'YÜKLENİCİ ARAÇLARI'!G118</f>
        <v>2300</v>
      </c>
      <c r="H300" s="217">
        <f>'YÜKLENİCİ ARAÇLARI'!H118</f>
        <v>41400</v>
      </c>
      <c r="I300" s="217">
        <f>'YÜKLENİCİ ARAÇLARI'!I118</f>
        <v>8280</v>
      </c>
      <c r="J300" s="217">
        <f>'YÜKLENİCİ ARAÇLARI'!J118</f>
        <v>49680</v>
      </c>
      <c r="K300" s="217">
        <f>'YÜKLENİCİ ARAÇLARI'!K118</f>
        <v>4140</v>
      </c>
      <c r="L300" s="217">
        <f>'YÜKLENİCİ ARAÇLARI'!L118</f>
        <v>45540</v>
      </c>
    </row>
    <row r="301" spans="1:12" s="218" customFormat="1" ht="15" thickTop="1" thickBot="1" x14ac:dyDescent="0.3">
      <c r="A301" s="216" t="str">
        <f>'YÜKLENİCİ ARAÇLARI'!A119</f>
        <v>GEDİK DÖKÜM</v>
      </c>
      <c r="B301" s="216" t="str">
        <f>'YÜKLENİCİ ARAÇLARI'!B119</f>
        <v>HENDEK4//PUNA</v>
      </c>
      <c r="C301" s="216" t="str">
        <f>'YÜKLENİCİ ARAÇLARI'!C119</f>
        <v>MUSTAFA KARAGÜZEL</v>
      </c>
      <c r="D301" s="216" t="str">
        <f>'YÜKLENİCİ ARAÇLARI'!D119</f>
        <v>54 S 2005</v>
      </c>
      <c r="E301" s="216" t="str">
        <f>'YÜKLENİCİ ARAÇLARI'!E119</f>
        <v>MESAİ 17  lik</v>
      </c>
      <c r="F301" s="216">
        <f>'YÜKLENİCİ ARAÇLARI'!F119</f>
        <v>0</v>
      </c>
      <c r="G301" s="217">
        <f>'YÜKLENİCİ ARAÇLARI'!G119</f>
        <v>1250</v>
      </c>
      <c r="H301" s="217">
        <f>'YÜKLENİCİ ARAÇLARI'!H119</f>
        <v>0</v>
      </c>
      <c r="I301" s="217">
        <f>'YÜKLENİCİ ARAÇLARI'!I119</f>
        <v>0</v>
      </c>
      <c r="J301" s="217">
        <f>'YÜKLENİCİ ARAÇLARI'!J119</f>
        <v>0</v>
      </c>
      <c r="K301" s="217">
        <f>'YÜKLENİCİ ARAÇLARI'!K119</f>
        <v>0</v>
      </c>
      <c r="L301" s="217">
        <f>'YÜKLENİCİ ARAÇLARI'!L119</f>
        <v>0</v>
      </c>
    </row>
    <row r="302" spans="1:12" s="218" customFormat="1" ht="15" thickTop="1" thickBot="1" x14ac:dyDescent="0.3">
      <c r="A302" s="216" t="str">
        <f>'YÜKLENİCİ ARAÇLARI'!A120</f>
        <v>GEDİK DÖKÜM</v>
      </c>
      <c r="B302" s="216" t="str">
        <f>'YÜKLENİCİ ARAÇLARI'!B120</f>
        <v>HENDEK 5 SARIDEDE/62 EV.ÇARŞI</v>
      </c>
      <c r="C302" s="216" t="str">
        <f>'YÜKLENİCİ ARAÇLARI'!C120</f>
        <v>MUSTAFA KARAGÜZEL</v>
      </c>
      <c r="D302" s="216" t="str">
        <f>'YÜKLENİCİ ARAÇLARI'!D120</f>
        <v>54 S 2124</v>
      </c>
      <c r="E302" s="216" t="str">
        <f>'YÜKLENİCİ ARAÇLARI'!E120</f>
        <v>GRŞ/ÇKŞ</v>
      </c>
      <c r="F302" s="216">
        <f>'YÜKLENİCİ ARAÇLARI'!F120</f>
        <v>0</v>
      </c>
      <c r="G302" s="217">
        <f>'YÜKLENİCİ ARAÇLARI'!G120</f>
        <v>1800</v>
      </c>
      <c r="H302" s="217">
        <f>'YÜKLENİCİ ARAÇLARI'!H120</f>
        <v>0</v>
      </c>
      <c r="I302" s="217">
        <f>'YÜKLENİCİ ARAÇLARI'!I120</f>
        <v>0</v>
      </c>
      <c r="J302" s="217">
        <f>'YÜKLENİCİ ARAÇLARI'!J120</f>
        <v>0</v>
      </c>
      <c r="K302" s="217">
        <f>'YÜKLENİCİ ARAÇLARI'!K120</f>
        <v>0</v>
      </c>
      <c r="L302" s="217">
        <f>'YÜKLENİCİ ARAÇLARI'!L120</f>
        <v>0</v>
      </c>
    </row>
    <row r="303" spans="1:12" s="218" customFormat="1" ht="15" thickTop="1" thickBot="1" x14ac:dyDescent="0.3">
      <c r="A303" s="216" t="str">
        <f>'YÜKLENİCİ ARAÇLARI'!A121</f>
        <v>GEDİK DÖKÜM</v>
      </c>
      <c r="B303" s="216" t="str">
        <f>'YÜKLENİCİ ARAÇLARI'!B121</f>
        <v>HENDEK 5 SARIDEDE/62 EV.ÇARŞI</v>
      </c>
      <c r="C303" s="216" t="str">
        <f>'YÜKLENİCİ ARAÇLARI'!C121</f>
        <v>MUSTAFA KARAGÜZEL</v>
      </c>
      <c r="D303" s="216" t="str">
        <f>'YÜKLENİCİ ARAÇLARI'!D121</f>
        <v>54 S 2124</v>
      </c>
      <c r="E303" s="216" t="str">
        <f>'YÜKLENİCİ ARAÇLARI'!E121</f>
        <v>MESAİ</v>
      </c>
      <c r="F303" s="216">
        <f>'YÜKLENİCİ ARAÇLARI'!F121</f>
        <v>21</v>
      </c>
      <c r="G303" s="217">
        <f>'YÜKLENİCİ ARAÇLARI'!G121</f>
        <v>1250</v>
      </c>
      <c r="H303" s="217">
        <f>'YÜKLENİCİ ARAÇLARI'!H121</f>
        <v>26250</v>
      </c>
      <c r="I303" s="217">
        <f>'YÜKLENİCİ ARAÇLARI'!I121</f>
        <v>5250</v>
      </c>
      <c r="J303" s="217">
        <f>'YÜKLENİCİ ARAÇLARI'!J121</f>
        <v>31500</v>
      </c>
      <c r="K303" s="217">
        <f>'YÜKLENİCİ ARAÇLARI'!K121</f>
        <v>2625</v>
      </c>
      <c r="L303" s="217">
        <f>'YÜKLENİCİ ARAÇLARI'!L121</f>
        <v>28875</v>
      </c>
    </row>
    <row r="304" spans="1:12" s="218" customFormat="1" ht="15" thickTop="1" thickBot="1" x14ac:dyDescent="0.3">
      <c r="A304" s="216" t="str">
        <f>'YÜKLENİCİ ARAÇLARI'!A122</f>
        <v>GEDİK DÖKÜM</v>
      </c>
      <c r="B304" s="216" t="str">
        <f>'YÜKLENİCİ ARAÇLARI'!B122</f>
        <v>HENDEK 6//HANTEK 27 LİK</v>
      </c>
      <c r="C304" s="216" t="str">
        <f>'YÜKLENİCİ ARAÇLARI'!C122</f>
        <v>MUSTAFA KARAGÜZEL</v>
      </c>
      <c r="D304" s="216" t="str">
        <f>'YÜKLENİCİ ARAÇLARI'!D122</f>
        <v>54 S2005</v>
      </c>
      <c r="E304" s="216" t="str">
        <f>'YÜKLENİCİ ARAÇLARI'!E122</f>
        <v>GRŞ/ÇKŞ</v>
      </c>
      <c r="F304" s="216">
        <f>'YÜKLENİCİ ARAÇLARI'!F122</f>
        <v>18</v>
      </c>
      <c r="G304" s="217">
        <f>'YÜKLENİCİ ARAÇLARI'!G122</f>
        <v>2300</v>
      </c>
      <c r="H304" s="217">
        <f>'YÜKLENİCİ ARAÇLARI'!H122</f>
        <v>41400</v>
      </c>
      <c r="I304" s="217">
        <f>'YÜKLENİCİ ARAÇLARI'!I122</f>
        <v>8280</v>
      </c>
      <c r="J304" s="217">
        <f>'YÜKLENİCİ ARAÇLARI'!J122</f>
        <v>49680</v>
      </c>
      <c r="K304" s="217">
        <f>'YÜKLENİCİ ARAÇLARI'!K122</f>
        <v>4140</v>
      </c>
      <c r="L304" s="217">
        <f>'YÜKLENİCİ ARAÇLARI'!L122</f>
        <v>45540</v>
      </c>
    </row>
    <row r="305" spans="1:12" s="218" customFormat="1" ht="15" hidden="1" thickTop="1" thickBot="1" x14ac:dyDescent="0.3">
      <c r="A305" s="216" t="str">
        <f>'YÜKLENİCİ ARAÇLARI'!A123</f>
        <v>GEDİK DÖKÜM</v>
      </c>
      <c r="B305" s="216" t="str">
        <f>'YÜKLENİCİ ARAÇLARI'!B123</f>
        <v>HENDEK 6//HANTEK 27 LİK</v>
      </c>
      <c r="C305" s="216" t="str">
        <f>'YÜKLENİCİ ARAÇLARI'!C123</f>
        <v>MUSTAFA KARAGÜZEL</v>
      </c>
      <c r="D305" s="216" t="str">
        <f>'YÜKLENİCİ ARAÇLARI'!D123</f>
        <v>54 S 2005</v>
      </c>
      <c r="E305" s="216" t="str">
        <f>'YÜKLENİCİ ARAÇLARI'!E123</f>
        <v>MESAİ 27 LŞK</v>
      </c>
      <c r="F305" s="216">
        <f>'YÜKLENİCİ ARAÇLARI'!F123</f>
        <v>0</v>
      </c>
      <c r="G305" s="217">
        <f>'YÜKLENİCİ ARAÇLARI'!G123</f>
        <v>1500</v>
      </c>
      <c r="H305" s="217">
        <f>'YÜKLENİCİ ARAÇLARI'!H123</f>
        <v>0</v>
      </c>
      <c r="I305" s="217">
        <f>'YÜKLENİCİ ARAÇLARI'!I123</f>
        <v>0</v>
      </c>
      <c r="J305" s="217">
        <f>'YÜKLENİCİ ARAÇLARI'!J123</f>
        <v>0</v>
      </c>
      <c r="K305" s="217">
        <f>'YÜKLENİCİ ARAÇLARI'!K123</f>
        <v>0</v>
      </c>
      <c r="L305" s="217">
        <f>'YÜKLENİCİ ARAÇLARI'!L123</f>
        <v>0</v>
      </c>
    </row>
    <row r="306" spans="1:12" s="218" customFormat="1" ht="15" thickTop="1" thickBot="1" x14ac:dyDescent="0.3">
      <c r="A306" s="216" t="str">
        <f>'YÜKLENİCİ ARAÇLARI'!A125</f>
        <v>GEDİK DÖKÜM</v>
      </c>
      <c r="B306" s="216" t="str">
        <f>'YÜKLENİCİ ARAÇLARI'!B125</f>
        <v>HENDEK 2//ÇAĞLAYAN</v>
      </c>
      <c r="C306" s="216" t="str">
        <f>'YÜKLENİCİ ARAÇLARI'!C125</f>
        <v>MUSTAFA KARAGÜZEL</v>
      </c>
      <c r="D306" s="216" t="str">
        <f>'YÜKLENİCİ ARAÇLARI'!D125</f>
        <v>17 LİK</v>
      </c>
      <c r="E306" s="216" t="str">
        <f>'YÜKLENİCİ ARAÇLARI'!E125</f>
        <v>VRD</v>
      </c>
      <c r="F306" s="216">
        <f>'YÜKLENİCİ ARAÇLARI'!F125</f>
        <v>0</v>
      </c>
      <c r="G306" s="217">
        <f>'YÜKLENİCİ ARAÇLARI'!G125</f>
        <v>800</v>
      </c>
      <c r="H306" s="217">
        <f>'YÜKLENİCİ ARAÇLARI'!H125</f>
        <v>0</v>
      </c>
      <c r="I306" s="217">
        <f>'YÜKLENİCİ ARAÇLARI'!I125</f>
        <v>0</v>
      </c>
      <c r="J306" s="217">
        <f>'YÜKLENİCİ ARAÇLARI'!J125</f>
        <v>0</v>
      </c>
      <c r="K306" s="217">
        <f>'YÜKLENİCİ ARAÇLARI'!K125</f>
        <v>0</v>
      </c>
      <c r="L306" s="217">
        <f>'YÜKLENİCİ ARAÇLARI'!L125</f>
        <v>0</v>
      </c>
    </row>
    <row r="307" spans="1:12" s="218" customFormat="1" ht="15" thickTop="1" thickBot="1" x14ac:dyDescent="0.3">
      <c r="A307" s="216" t="str">
        <f>'YÜKLENİCİ ARAÇLARI'!A126</f>
        <v>GEDİK DÖKÜM</v>
      </c>
      <c r="B307" s="216" t="str">
        <f>'YÜKLENİCİ ARAÇLARI'!B126</f>
        <v>HENDEK 2//ÇAĞLAYAN</v>
      </c>
      <c r="C307" s="216" t="str">
        <f>'YÜKLENİCİ ARAÇLARI'!C126</f>
        <v>MUSTAFA KARAGÜZEL</v>
      </c>
      <c r="D307" s="216" t="str">
        <f>'YÜKLENİCİ ARAÇLARI'!D126</f>
        <v>17 LİK</v>
      </c>
      <c r="E307" s="216" t="str">
        <f>'YÜKLENİCİ ARAÇLARI'!E126</f>
        <v>VRD</v>
      </c>
      <c r="F307" s="216">
        <f>'YÜKLENİCİ ARAÇLARI'!F126</f>
        <v>0</v>
      </c>
      <c r="G307" s="217">
        <f>'YÜKLENİCİ ARAÇLARI'!G126</f>
        <v>1250</v>
      </c>
      <c r="H307" s="217">
        <f>'YÜKLENİCİ ARAÇLARI'!H126</f>
        <v>0</v>
      </c>
      <c r="I307" s="217">
        <f>'YÜKLENİCİ ARAÇLARI'!I126</f>
        <v>0</v>
      </c>
      <c r="J307" s="217">
        <f>'YÜKLENİCİ ARAÇLARI'!J126</f>
        <v>0</v>
      </c>
      <c r="K307" s="217">
        <f>'YÜKLENİCİ ARAÇLARI'!K126</f>
        <v>0</v>
      </c>
      <c r="L307" s="217">
        <f>'YÜKLENİCİ ARAÇLARI'!L126</f>
        <v>0</v>
      </c>
    </row>
    <row r="308" spans="1:12" s="218" customFormat="1" ht="15" thickTop="1" thickBot="1" x14ac:dyDescent="0.3">
      <c r="A308" s="216" t="str">
        <f>'YÜKLENİCİ ARAÇLARI'!A127</f>
        <v>GEDİK DÖKÜM</v>
      </c>
      <c r="B308" s="216" t="str">
        <f>'YÜKLENİCİ ARAÇLARI'!B127</f>
        <v>HENDEK 2//ÇAĞLAYAN</v>
      </c>
      <c r="C308" s="216" t="str">
        <f>'YÜKLENİCİ ARAÇLARI'!C127</f>
        <v>MUSTAFA KARAGÜZEL</v>
      </c>
      <c r="D308" s="216" t="str">
        <f>'YÜKLENİCİ ARAÇLARI'!D127</f>
        <v>17 LİK</v>
      </c>
      <c r="E308" s="216" t="str">
        <f>'YÜKLENİCİ ARAÇLARI'!E127</f>
        <v>TEK ÇIKIŞ</v>
      </c>
      <c r="F308" s="216">
        <f>'YÜKLENİCİ ARAÇLARI'!F127</f>
        <v>0</v>
      </c>
      <c r="G308" s="217">
        <f>'YÜKLENİCİ ARAÇLARI'!G127</f>
        <v>1250</v>
      </c>
      <c r="H308" s="217">
        <f>'YÜKLENİCİ ARAÇLARI'!H127</f>
        <v>0</v>
      </c>
      <c r="I308" s="217">
        <f>'YÜKLENİCİ ARAÇLARI'!I127</f>
        <v>0</v>
      </c>
      <c r="J308" s="217">
        <f>'YÜKLENİCİ ARAÇLARI'!J127</f>
        <v>0</v>
      </c>
      <c r="K308" s="217">
        <f>'YÜKLENİCİ ARAÇLARI'!K127</f>
        <v>0</v>
      </c>
      <c r="L308" s="217">
        <f>'YÜKLENİCİ ARAÇLARI'!L127</f>
        <v>0</v>
      </c>
    </row>
    <row r="309" spans="1:12" s="218" customFormat="1" ht="15" thickTop="1" thickBot="1" x14ac:dyDescent="0.3">
      <c r="A309" s="216" t="str">
        <f>'YÜKLENİCİ ARAÇLARI'!A128</f>
        <v>GEDİK DÖKÜM</v>
      </c>
      <c r="B309" s="216" t="s">
        <v>571</v>
      </c>
      <c r="C309" s="216" t="str">
        <f>'YÜKLENİCİ ARAÇLARI'!C128</f>
        <v>MUSTAFA KARAGÜZEL</v>
      </c>
      <c r="D309" s="216" t="str">
        <f>'YÜKLENİCİ ARAÇLARI'!D128</f>
        <v>17 LİK</v>
      </c>
      <c r="E309" s="216" t="s">
        <v>572</v>
      </c>
      <c r="F309" s="216">
        <f>'YÜKLENİCİ ARAÇLARI'!F124</f>
        <v>0</v>
      </c>
      <c r="G309" s="217">
        <f>'YÜKLENİCİ ARAÇLARI'!G124</f>
        <v>1500</v>
      </c>
      <c r="H309" s="217">
        <f>'YÜKLENİCİ ARAÇLARI'!H124</f>
        <v>0</v>
      </c>
      <c r="I309" s="217">
        <f>'YÜKLENİCİ ARAÇLARI'!I124</f>
        <v>0</v>
      </c>
      <c r="J309" s="217">
        <f>'YÜKLENİCİ ARAÇLARI'!J124</f>
        <v>0</v>
      </c>
      <c r="K309" s="217">
        <f>'YÜKLENİCİ ARAÇLARI'!K124</f>
        <v>0</v>
      </c>
      <c r="L309" s="217">
        <f>'YÜKLENİCİ ARAÇLARI'!L124</f>
        <v>0</v>
      </c>
    </row>
    <row r="310" spans="1:12" s="218" customFormat="1" ht="15" thickTop="1" thickBot="1" x14ac:dyDescent="0.3">
      <c r="A310" s="216" t="str">
        <f>'YÜKLENİCİ ARAÇLARI'!A128</f>
        <v>GEDİK DÖKÜM</v>
      </c>
      <c r="B310" s="216" t="str">
        <f>'YÜKLENİCİ ARAÇLARI'!B128</f>
        <v>CUMA</v>
      </c>
      <c r="C310" s="216" t="str">
        <f>'YÜKLENİCİ ARAÇLARI'!C128</f>
        <v>MUSTAFA KARAGÜZEL</v>
      </c>
      <c r="D310" s="216" t="str">
        <f>'YÜKLENİCİ ARAÇLARI'!D128</f>
        <v>17 LİK</v>
      </c>
      <c r="E310" s="216" t="str">
        <f>'YÜKLENİCİ ARAÇLARI'!E128</f>
        <v>CUMA</v>
      </c>
      <c r="F310" s="216">
        <f>'YÜKLENİCİ ARAÇLARI'!F128</f>
        <v>0</v>
      </c>
      <c r="G310" s="217">
        <f>'YÜKLENİCİ ARAÇLARI'!G128</f>
        <v>1500</v>
      </c>
      <c r="H310" s="217">
        <f>'YÜKLENİCİ ARAÇLARI'!H128</f>
        <v>0</v>
      </c>
      <c r="I310" s="217">
        <f>'YÜKLENİCİ ARAÇLARI'!I128</f>
        <v>0</v>
      </c>
      <c r="J310" s="217">
        <f>'YÜKLENİCİ ARAÇLARI'!J128</f>
        <v>0</v>
      </c>
      <c r="K310" s="217">
        <f>'YÜKLENİCİ ARAÇLARI'!K128</f>
        <v>0</v>
      </c>
      <c r="L310" s="217">
        <f>'YÜKLENİCİ ARAÇLARI'!L128</f>
        <v>0</v>
      </c>
    </row>
    <row r="311" spans="1:12" s="218" customFormat="1" ht="15" thickTop="1" thickBot="1" x14ac:dyDescent="0.3">
      <c r="A311" s="216" t="s">
        <v>102</v>
      </c>
      <c r="B311" s="216" t="str">
        <f>'YÜKLENİCİ ARAÇLARI'!B129</f>
        <v>KADINLAR GÜNÜ İÇİN 3 ARAÇ</v>
      </c>
      <c r="C311" s="216" t="str">
        <f>'YÜKLENİCİ ARAÇLARI'!C129</f>
        <v>MUSTAFA KARAGÜZEL</v>
      </c>
      <c r="D311" s="216">
        <f>'YÜKLENİCİ ARAÇLARI'!D129</f>
        <v>0</v>
      </c>
      <c r="E311" s="216" t="str">
        <f>'YÜKLENİCİ ARAÇLARI'!E129</f>
        <v>TEK</v>
      </c>
      <c r="F311" s="216">
        <f>'YÜKLENİCİ ARAÇLARI'!F129</f>
        <v>0</v>
      </c>
      <c r="G311" s="217">
        <f>'YÜKLENİCİ ARAÇLARI'!G129</f>
        <v>1500</v>
      </c>
      <c r="H311" s="217">
        <f>'YÜKLENİCİ ARAÇLARI'!H129</f>
        <v>0</v>
      </c>
      <c r="I311" s="217">
        <f>'YÜKLENİCİ ARAÇLARI'!I129</f>
        <v>0</v>
      </c>
      <c r="J311" s="217">
        <f>'YÜKLENİCİ ARAÇLARI'!J129</f>
        <v>0</v>
      </c>
      <c r="K311" s="217">
        <f>'YÜKLENİCİ ARAÇLARI'!K129</f>
        <v>0</v>
      </c>
      <c r="L311" s="217">
        <f>'YÜKLENİCİ ARAÇLARI'!L129</f>
        <v>0</v>
      </c>
    </row>
    <row r="312" spans="1:12" s="218" customFormat="1" ht="15" thickTop="1" thickBot="1" x14ac:dyDescent="0.3">
      <c r="A312" s="216" t="str">
        <f>'YÜKLENİCİ ARAÇLARI'!A155</f>
        <v>GEDİK KAYNAK</v>
      </c>
      <c r="B312" s="216" t="str">
        <f>'YÜKLENİCİ ARAÇLARI'!B155</f>
        <v>HENDEK 1 K.BAŞI ÇARŞI</v>
      </c>
      <c r="C312" s="216" t="str">
        <f>'YÜKLENİCİ ARAÇLARI'!C155</f>
        <v>MUSTAFA KARAGÜZEL</v>
      </c>
      <c r="D312" s="216">
        <f>'YÜKLENİCİ ARAÇLARI'!D155</f>
        <v>0</v>
      </c>
      <c r="E312" s="216" t="str">
        <f>'YÜKLENİCİ ARAÇLARI'!E155</f>
        <v>VRD</v>
      </c>
      <c r="F312" s="216">
        <f>'YÜKLENİCİ ARAÇLARI'!F155</f>
        <v>127</v>
      </c>
      <c r="G312" s="217">
        <f>'YÜKLENİCİ ARAÇLARI'!G155</f>
        <v>550</v>
      </c>
      <c r="H312" s="217">
        <f>'YÜKLENİCİ ARAÇLARI'!H155</f>
        <v>69850</v>
      </c>
      <c r="I312" s="217">
        <f>'YÜKLENİCİ ARAÇLARI'!I155</f>
        <v>13970</v>
      </c>
      <c r="J312" s="217">
        <f>'YÜKLENİCİ ARAÇLARI'!J155</f>
        <v>83820</v>
      </c>
      <c r="K312" s="217">
        <f>'YÜKLENİCİ ARAÇLARI'!K155</f>
        <v>6985</v>
      </c>
      <c r="L312" s="217">
        <f>'YÜKLENİCİ ARAÇLARI'!L155</f>
        <v>76835</v>
      </c>
    </row>
    <row r="313" spans="1:12" s="218" customFormat="1" ht="15" thickTop="1" thickBot="1" x14ac:dyDescent="0.3">
      <c r="A313" s="216" t="str">
        <f>'YÜKLENİCİ ARAÇLARI'!A156</f>
        <v>GEDİK KAYNAK</v>
      </c>
      <c r="B313" s="216" t="str">
        <f>'YÜKLENİCİ ARAÇLARI'!B156</f>
        <v>HENDEK 1 K.BAŞI ÇARŞI</v>
      </c>
      <c r="C313" s="216" t="str">
        <f>'YÜKLENİCİ ARAÇLARI'!C156</f>
        <v>MUSTAFA KARAGÜZEL</v>
      </c>
      <c r="D313" s="216">
        <f>'YÜKLENİCİ ARAÇLARI'!D156</f>
        <v>0</v>
      </c>
      <c r="E313" s="216" t="str">
        <f>'YÜKLENİCİ ARAÇLARI'!E156</f>
        <v>TEK YÖN G/Ç</v>
      </c>
      <c r="F313" s="216">
        <f>'YÜKLENİCİ ARAÇLARI'!F156</f>
        <v>0</v>
      </c>
      <c r="G313" s="217">
        <f>'YÜKLENİCİ ARAÇLARI'!G156</f>
        <v>900</v>
      </c>
      <c r="H313" s="217">
        <f>'YÜKLENİCİ ARAÇLARI'!H156</f>
        <v>0</v>
      </c>
      <c r="I313" s="217">
        <f>'YÜKLENİCİ ARAÇLARI'!I156</f>
        <v>0</v>
      </c>
      <c r="J313" s="217">
        <f>'YÜKLENİCİ ARAÇLARI'!J156</f>
        <v>0</v>
      </c>
      <c r="K313" s="217">
        <f>'YÜKLENİCİ ARAÇLARI'!K156</f>
        <v>0</v>
      </c>
      <c r="L313" s="217">
        <f>'YÜKLENİCİ ARAÇLARI'!L156</f>
        <v>0</v>
      </c>
    </row>
    <row r="314" spans="1:12" s="218" customFormat="1" ht="15" thickTop="1" thickBot="1" x14ac:dyDescent="0.3">
      <c r="A314" s="216" t="str">
        <f>'YÜKLENİCİ ARAÇLARI'!A157</f>
        <v>GEDİK KAYNAK</v>
      </c>
      <c r="B314" s="216" t="str">
        <f>'YÜKLENİCİ ARAÇLARI'!B157</f>
        <v>HENDEK 2/Y.MAHALLE HANTEK</v>
      </c>
      <c r="C314" s="216" t="str">
        <f>'YÜKLENİCİ ARAÇLARI'!C157</f>
        <v>MUSTAFA KARAGÜZEL</v>
      </c>
      <c r="D314" s="216">
        <f>'YÜKLENİCİ ARAÇLARI'!D157</f>
        <v>0</v>
      </c>
      <c r="E314" s="216" t="str">
        <f>'YÜKLENİCİ ARAÇLARI'!E157</f>
        <v>VRD</v>
      </c>
      <c r="F314" s="216">
        <f>'YÜKLENİCİ ARAÇLARI'!F157</f>
        <v>127</v>
      </c>
      <c r="G314" s="217">
        <f>'YÜKLENİCİ ARAÇLARI'!G157</f>
        <v>550</v>
      </c>
      <c r="H314" s="217">
        <f>'YÜKLENİCİ ARAÇLARI'!H157</f>
        <v>69850</v>
      </c>
      <c r="I314" s="217">
        <f>'YÜKLENİCİ ARAÇLARI'!I157</f>
        <v>13970</v>
      </c>
      <c r="J314" s="217">
        <f>'YÜKLENİCİ ARAÇLARI'!J157</f>
        <v>83820</v>
      </c>
      <c r="K314" s="217">
        <f>'YÜKLENİCİ ARAÇLARI'!K157</f>
        <v>6985</v>
      </c>
      <c r="L314" s="217">
        <f>'YÜKLENİCİ ARAÇLARI'!L157</f>
        <v>76835</v>
      </c>
    </row>
    <row r="315" spans="1:12" s="218" customFormat="1" ht="15" thickTop="1" thickBot="1" x14ac:dyDescent="0.3">
      <c r="A315" s="216" t="str">
        <f>'YÜKLENİCİ ARAÇLARI'!A158</f>
        <v>GEDİK KAYNAK</v>
      </c>
      <c r="B315" s="216" t="str">
        <f>'YÜKLENİCİ ARAÇLARI'!B158</f>
        <v>HENDEK 2/Y.MAHALLE HANTEK</v>
      </c>
      <c r="C315" s="216" t="str">
        <f>'YÜKLENİCİ ARAÇLARI'!C158</f>
        <v>MUSTAFA KARAGÜZEL</v>
      </c>
      <c r="D315" s="216">
        <f>'YÜKLENİCİ ARAÇLARI'!D158</f>
        <v>0</v>
      </c>
      <c r="E315" s="216" t="str">
        <f>'YÜKLENİCİ ARAÇLARI'!E158</f>
        <v>TEK YÖN G/Ç</v>
      </c>
      <c r="F315" s="216">
        <f>'YÜKLENİCİ ARAÇLARI'!F158</f>
        <v>0</v>
      </c>
      <c r="G315" s="217">
        <f>'YÜKLENİCİ ARAÇLARI'!G158</f>
        <v>1250</v>
      </c>
      <c r="H315" s="217">
        <f>'YÜKLENİCİ ARAÇLARI'!H158</f>
        <v>0</v>
      </c>
      <c r="I315" s="217">
        <f>'YÜKLENİCİ ARAÇLARI'!I158</f>
        <v>0</v>
      </c>
      <c r="J315" s="217">
        <f>'YÜKLENİCİ ARAÇLARI'!J158</f>
        <v>0</v>
      </c>
      <c r="K315" s="217">
        <f>'YÜKLENİCİ ARAÇLARI'!K158</f>
        <v>0</v>
      </c>
      <c r="L315" s="217">
        <f>'YÜKLENİCİ ARAÇLARI'!L158</f>
        <v>0</v>
      </c>
    </row>
    <row r="316" spans="1:12" s="218" customFormat="1" ht="15" thickTop="1" thickBot="1" x14ac:dyDescent="0.3">
      <c r="A316" s="216" t="str">
        <f>'YÜKLENİCİ ARAÇLARI'!A161</f>
        <v>GEDİK KAYNAK</v>
      </c>
      <c r="B316" s="216" t="str">
        <f>'YÜKLENİCİ ARAÇLARI'!B161</f>
        <v>HENDEK 4/SARIDEDE</v>
      </c>
      <c r="C316" s="216" t="str">
        <f>'YÜKLENİCİ ARAÇLARI'!C161</f>
        <v>MUSTAFA KARAGÜZEL</v>
      </c>
      <c r="D316" s="216">
        <f>'YÜKLENİCİ ARAÇLARI'!D161</f>
        <v>0</v>
      </c>
      <c r="E316" s="216" t="str">
        <f>'YÜKLENİCİ ARAÇLARI'!E161</f>
        <v>VRD</v>
      </c>
      <c r="F316" s="216">
        <f>'YÜKLENİCİ ARAÇLARI'!F161</f>
        <v>42</v>
      </c>
      <c r="G316" s="217">
        <f>'YÜKLENİCİ ARAÇLARI'!G161</f>
        <v>550</v>
      </c>
      <c r="H316" s="217">
        <f>'YÜKLENİCİ ARAÇLARI'!H161</f>
        <v>23100</v>
      </c>
      <c r="I316" s="217">
        <f>'YÜKLENİCİ ARAÇLARI'!I161</f>
        <v>4620</v>
      </c>
      <c r="J316" s="217">
        <f>'YÜKLENİCİ ARAÇLARI'!J161</f>
        <v>27720</v>
      </c>
      <c r="K316" s="217">
        <f>'YÜKLENİCİ ARAÇLARI'!K161</f>
        <v>2310</v>
      </c>
      <c r="L316" s="217">
        <f>'YÜKLENİCİ ARAÇLARI'!L161</f>
        <v>25410</v>
      </c>
    </row>
    <row r="317" spans="1:12" s="218" customFormat="1" ht="15" thickTop="1" thickBot="1" x14ac:dyDescent="0.3">
      <c r="A317" s="216" t="str">
        <f>'YÜKLENİCİ ARAÇLARI'!A162</f>
        <v>GEDİK KAYNAK</v>
      </c>
      <c r="B317" s="216" t="str">
        <f>'YÜKLENİCİ ARAÇLARI'!B162</f>
        <v>HENDEK 4/SARIDEDE</v>
      </c>
      <c r="C317" s="216" t="str">
        <f>'YÜKLENİCİ ARAÇLARI'!C162</f>
        <v>MUSTAFA KARAGÜZEL</v>
      </c>
      <c r="D317" s="216">
        <f>'YÜKLENİCİ ARAÇLARI'!D162</f>
        <v>0</v>
      </c>
      <c r="E317" s="216" t="str">
        <f>'YÜKLENİCİ ARAÇLARI'!E162</f>
        <v>TEK YÖN G/Ç</v>
      </c>
      <c r="F317" s="216">
        <f>'YÜKLENİCİ ARAÇLARI'!F162</f>
        <v>42</v>
      </c>
      <c r="G317" s="217">
        <f>'YÜKLENİCİ ARAÇLARI'!G162</f>
        <v>900</v>
      </c>
      <c r="H317" s="217">
        <f>'YÜKLENİCİ ARAÇLARI'!H162</f>
        <v>37800</v>
      </c>
      <c r="I317" s="217">
        <f>'YÜKLENİCİ ARAÇLARI'!I162</f>
        <v>7560</v>
      </c>
      <c r="J317" s="217">
        <f>'YÜKLENİCİ ARAÇLARI'!J162</f>
        <v>45360</v>
      </c>
      <c r="K317" s="217">
        <f>'YÜKLENİCİ ARAÇLARI'!K162</f>
        <v>3780</v>
      </c>
      <c r="L317" s="217">
        <f>'YÜKLENİCİ ARAÇLARI'!L162</f>
        <v>41580</v>
      </c>
    </row>
    <row r="318" spans="1:12" s="218" customFormat="1" ht="15" thickTop="1" thickBot="1" x14ac:dyDescent="0.3">
      <c r="A318" s="216" t="str">
        <f>'YÜKLENİCİ ARAÇLARI'!A174</f>
        <v>GEDİK KAYNAK</v>
      </c>
      <c r="B318" s="216" t="str">
        <f>'YÜKLENİCİ ARAÇLARI'!B174</f>
        <v>HENDEK 7/ SARIDEDE</v>
      </c>
      <c r="C318" s="216" t="str">
        <f>'YÜKLENİCİ ARAÇLARI'!C174</f>
        <v>MUSTAFA KARAGÜZEL</v>
      </c>
      <c r="D318" s="216">
        <f>'YÜKLENİCİ ARAÇLARI'!D174</f>
        <v>0</v>
      </c>
      <c r="E318" s="216" t="str">
        <f>'YÜKLENİCİ ARAÇLARI'!E174</f>
        <v>GRŞ/ÇIKIŞ</v>
      </c>
      <c r="F318" s="216">
        <f>'YÜKLENİCİ ARAÇLARI'!F174</f>
        <v>21</v>
      </c>
      <c r="G318" s="217">
        <f>'YÜKLENİCİ ARAÇLARI'!G174</f>
        <v>1800</v>
      </c>
      <c r="H318" s="217">
        <f>'YÜKLENİCİ ARAÇLARI'!H174</f>
        <v>37800</v>
      </c>
      <c r="I318" s="217">
        <f>'YÜKLENİCİ ARAÇLARI'!I174</f>
        <v>7560</v>
      </c>
      <c r="J318" s="217">
        <f>'YÜKLENİCİ ARAÇLARI'!J174</f>
        <v>45360</v>
      </c>
      <c r="K318" s="217">
        <f>'YÜKLENİCİ ARAÇLARI'!K174</f>
        <v>3780</v>
      </c>
      <c r="L318" s="217">
        <f>'YÜKLENİCİ ARAÇLARI'!L174</f>
        <v>41580</v>
      </c>
    </row>
    <row r="319" spans="1:12" s="218" customFormat="1" ht="15" thickTop="1" thickBot="1" x14ac:dyDescent="0.3">
      <c r="A319" s="216" t="str">
        <f>'YÜKLENİCİ ARAÇLARI'!A175</f>
        <v>GEDİK KAYNAK</v>
      </c>
      <c r="B319" s="216" t="str">
        <f>'YÜKLENİCİ ARAÇLARI'!B175</f>
        <v>HENDEK 6 HANTEK</v>
      </c>
      <c r="C319" s="216" t="str">
        <f>'YÜKLENİCİ ARAÇLARI'!C175</f>
        <v>MUSTAFA KARAGÜZEL</v>
      </c>
      <c r="D319" s="216" t="str">
        <f>'YÜKLENİCİ ARAÇLARI'!D175</f>
        <v>27 LİK</v>
      </c>
      <c r="E319" s="216" t="str">
        <f>'YÜKLENİCİ ARAÇLARI'!E175</f>
        <v>GRŞ/ÇIKIŞ</v>
      </c>
      <c r="F319" s="216">
        <f>'YÜKLENİCİ ARAÇLARI'!F175</f>
        <v>21</v>
      </c>
      <c r="G319" s="217">
        <f>'YÜKLENİCİ ARAÇLARI'!G175</f>
        <v>2300</v>
      </c>
      <c r="H319" s="217">
        <f>'YÜKLENİCİ ARAÇLARI'!H175</f>
        <v>48300</v>
      </c>
      <c r="I319" s="217">
        <f>'YÜKLENİCİ ARAÇLARI'!I175</f>
        <v>9660</v>
      </c>
      <c r="J319" s="217">
        <f>'YÜKLENİCİ ARAÇLARI'!J175</f>
        <v>57960</v>
      </c>
      <c r="K319" s="217">
        <f>'YÜKLENİCİ ARAÇLARI'!K175</f>
        <v>4830</v>
      </c>
      <c r="L319" s="217">
        <f>'YÜKLENİCİ ARAÇLARI'!L175</f>
        <v>53130</v>
      </c>
    </row>
    <row r="320" spans="1:12" s="218" customFormat="1" ht="15" thickTop="1" thickBot="1" x14ac:dyDescent="0.3">
      <c r="A320" s="216" t="str">
        <f>'YÜKLENİCİ ARAÇLARI'!A176</f>
        <v>GEDİK KAYNAK</v>
      </c>
      <c r="B320" s="216" t="str">
        <f>'YÜKLENİCİ ARAÇLARI'!B176</f>
        <v>HENDEK 10/OPET BP</v>
      </c>
      <c r="C320" s="216" t="str">
        <f>'YÜKLENİCİ ARAÇLARI'!C176</f>
        <v>MUSTAFA KARAGÜZEL</v>
      </c>
      <c r="D320" s="216">
        <f>'YÜKLENİCİ ARAÇLARI'!D176</f>
        <v>0</v>
      </c>
      <c r="E320" s="216" t="str">
        <f>'YÜKLENİCİ ARAÇLARI'!E176</f>
        <v>GRŞ/ÇIKIŞ</v>
      </c>
      <c r="F320" s="216">
        <f>'YÜKLENİCİ ARAÇLARI'!F176</f>
        <v>21</v>
      </c>
      <c r="G320" s="217">
        <f>'YÜKLENİCİ ARAÇLARI'!G176</f>
        <v>1800</v>
      </c>
      <c r="H320" s="217">
        <f>'YÜKLENİCİ ARAÇLARI'!H176</f>
        <v>37800</v>
      </c>
      <c r="I320" s="217">
        <f>'YÜKLENİCİ ARAÇLARI'!I176</f>
        <v>7560</v>
      </c>
      <c r="J320" s="217">
        <f>'YÜKLENİCİ ARAÇLARI'!J176</f>
        <v>45360</v>
      </c>
      <c r="K320" s="217">
        <f>'YÜKLENİCİ ARAÇLARI'!K176</f>
        <v>3780</v>
      </c>
      <c r="L320" s="217">
        <f>'YÜKLENİCİ ARAÇLARI'!L176</f>
        <v>41580</v>
      </c>
    </row>
    <row r="321" spans="1:12" s="218" customFormat="1" ht="15" thickTop="1" thickBot="1" x14ac:dyDescent="0.3">
      <c r="A321" s="216" t="str">
        <f>'YÜKLENİCİ ARAÇLARI'!A177</f>
        <v>GEDİK KAYNAK</v>
      </c>
      <c r="B321" s="216" t="str">
        <f>'YÜKLENİCİ ARAÇLARI'!B177</f>
        <v>HENDEK 8/SGK</v>
      </c>
      <c r="C321" s="216" t="str">
        <f>'YÜKLENİCİ ARAÇLARI'!C177</f>
        <v>MUSTAFA KARAGÜZEL</v>
      </c>
      <c r="D321" s="216" t="str">
        <f>'YÜKLENİCİ ARAÇLARI'!D177</f>
        <v>27 LİK</v>
      </c>
      <c r="E321" s="216" t="str">
        <f>'YÜKLENİCİ ARAÇLARI'!E177</f>
        <v>GRŞ/ÇIKIŞ</v>
      </c>
      <c r="F321" s="216">
        <f>'YÜKLENİCİ ARAÇLARI'!F177</f>
        <v>21</v>
      </c>
      <c r="G321" s="217">
        <f>'YÜKLENİCİ ARAÇLARI'!G177</f>
        <v>2300</v>
      </c>
      <c r="H321" s="217">
        <f>'YÜKLENİCİ ARAÇLARI'!H177</f>
        <v>48300</v>
      </c>
      <c r="I321" s="217">
        <f>'YÜKLENİCİ ARAÇLARI'!I177</f>
        <v>9660</v>
      </c>
      <c r="J321" s="217">
        <f>'YÜKLENİCİ ARAÇLARI'!J177</f>
        <v>57960</v>
      </c>
      <c r="K321" s="217">
        <f>'YÜKLENİCİ ARAÇLARI'!K177</f>
        <v>4830</v>
      </c>
      <c r="L321" s="217">
        <f>'YÜKLENİCİ ARAÇLARI'!L177</f>
        <v>53130</v>
      </c>
    </row>
    <row r="322" spans="1:12" s="218" customFormat="1" ht="15" thickTop="1" thickBot="1" x14ac:dyDescent="0.3">
      <c r="A322" s="216" t="str">
        <f>'YÜKLENİCİ ARAÇLARI'!A178</f>
        <v>GEDİK KAYNAK</v>
      </c>
      <c r="B322" s="216" t="str">
        <f>'YÜKLENİCİ ARAÇLARI'!B178</f>
        <v>HENDEK 9/Y.MAHALLE</v>
      </c>
      <c r="C322" s="216" t="str">
        <f>'YÜKLENİCİ ARAÇLARI'!C178</f>
        <v>MUSTAFA KARAGÜZEL</v>
      </c>
      <c r="D322" s="216">
        <f>'YÜKLENİCİ ARAÇLARI'!D178</f>
        <v>0</v>
      </c>
      <c r="E322" s="216" t="str">
        <f>'YÜKLENİCİ ARAÇLARI'!E178</f>
        <v>GRŞ/ÇIKIŞ</v>
      </c>
      <c r="F322" s="216">
        <f>'YÜKLENİCİ ARAÇLARI'!F178</f>
        <v>18</v>
      </c>
      <c r="G322" s="217">
        <f>'YÜKLENİCİ ARAÇLARI'!G178</f>
        <v>1800</v>
      </c>
      <c r="H322" s="217">
        <f>'YÜKLENİCİ ARAÇLARI'!H178</f>
        <v>32400</v>
      </c>
      <c r="I322" s="217">
        <f>'YÜKLENİCİ ARAÇLARI'!I178</f>
        <v>6480</v>
      </c>
      <c r="J322" s="217">
        <f>'YÜKLENİCİ ARAÇLARI'!J178</f>
        <v>38880</v>
      </c>
      <c r="K322" s="217">
        <f>'YÜKLENİCİ ARAÇLARI'!K178</f>
        <v>3240</v>
      </c>
      <c r="L322" s="217">
        <f>'YÜKLENİCİ ARAÇLARI'!L178</f>
        <v>35640</v>
      </c>
    </row>
    <row r="323" spans="1:12" s="218" customFormat="1" ht="15" thickTop="1" thickBot="1" x14ac:dyDescent="0.3">
      <c r="A323" s="216" t="str">
        <f>'YÜKLENİCİ ARAÇLARI'!A179</f>
        <v>GEDİK KAYNAK</v>
      </c>
      <c r="B323" s="216" t="str">
        <f>'YÜKLENİCİ ARAÇLARI'!B179</f>
        <v>HENDEK SABAH TEK GRŞ</v>
      </c>
      <c r="C323" s="216" t="str">
        <f>'YÜKLENİCİ ARAÇLARI'!C179</f>
        <v>MUSTAFA KARAGÜZEL</v>
      </c>
      <c r="D323" s="216">
        <f>'YÜKLENİCİ ARAÇLARI'!D179</f>
        <v>0</v>
      </c>
      <c r="E323" s="216" t="str">
        <f>'YÜKLENİCİ ARAÇLARI'!E179</f>
        <v>TEK GRŞ</v>
      </c>
      <c r="F323" s="216">
        <f>'YÜKLENİCİ ARAÇLARI'!F179</f>
        <v>18</v>
      </c>
      <c r="G323" s="217">
        <f>'YÜKLENİCİ ARAÇLARI'!G179</f>
        <v>900</v>
      </c>
      <c r="H323" s="217">
        <f>'YÜKLENİCİ ARAÇLARI'!H179</f>
        <v>16200</v>
      </c>
      <c r="I323" s="217">
        <f>'YÜKLENİCİ ARAÇLARI'!I179</f>
        <v>3240</v>
      </c>
      <c r="J323" s="217">
        <f>'YÜKLENİCİ ARAÇLARI'!J179</f>
        <v>19440</v>
      </c>
      <c r="K323" s="217">
        <f>'YÜKLENİCİ ARAÇLARI'!K179</f>
        <v>1620</v>
      </c>
      <c r="L323" s="217">
        <f>'YÜKLENİCİ ARAÇLARI'!L179</f>
        <v>17820</v>
      </c>
    </row>
    <row r="324" spans="1:12" s="218" customFormat="1" ht="15" thickTop="1" thickBot="1" x14ac:dyDescent="0.3">
      <c r="A324" s="216" t="str">
        <f>'YÜKLENİCİ ARAÇLARI'!A180</f>
        <v>GEDİK KAYNAK</v>
      </c>
      <c r="B324" s="216" t="str">
        <f>'YÜKLENİCİ ARAÇLARI'!B180</f>
        <v>HENDEK</v>
      </c>
      <c r="C324" s="216" t="str">
        <f>'YÜKLENİCİ ARAÇLARI'!C180</f>
        <v>MUSTAFA KARAGÜZEL</v>
      </c>
      <c r="D324" s="216">
        <f>'YÜKLENİCİ ARAÇLARI'!D180</f>
        <v>0</v>
      </c>
      <c r="E324" s="216" t="str">
        <f>'YÜKLENİCİ ARAÇLARI'!E180</f>
        <v>18:00/MESAİ</v>
      </c>
      <c r="F324" s="216">
        <f>'YÜKLENİCİ ARAÇLARI'!F180</f>
        <v>18</v>
      </c>
      <c r="G324" s="217">
        <f>'YÜKLENİCİ ARAÇLARI'!G180</f>
        <v>1250</v>
      </c>
      <c r="H324" s="217">
        <f>'YÜKLENİCİ ARAÇLARI'!H180</f>
        <v>22500</v>
      </c>
      <c r="I324" s="217">
        <f>'YÜKLENİCİ ARAÇLARI'!I180</f>
        <v>4500</v>
      </c>
      <c r="J324" s="217">
        <f>'YÜKLENİCİ ARAÇLARI'!J180</f>
        <v>27000</v>
      </c>
      <c r="K324" s="217">
        <f>'YÜKLENİCİ ARAÇLARI'!K180</f>
        <v>2250</v>
      </c>
      <c r="L324" s="217">
        <f>'YÜKLENİCİ ARAÇLARI'!L180</f>
        <v>24750</v>
      </c>
    </row>
    <row r="325" spans="1:12" s="218" customFormat="1" ht="15" thickTop="1" thickBot="1" x14ac:dyDescent="0.3">
      <c r="A325" s="216" t="str">
        <f>'YÜKLENİCİ ARAÇLARI'!A181</f>
        <v>GEDİK KAYNAK</v>
      </c>
      <c r="B325" s="216" t="str">
        <f>'YÜKLENİCİ ARAÇLARI'!B181</f>
        <v>HENDEK</v>
      </c>
      <c r="C325" s="216" t="str">
        <f>'YÜKLENİCİ ARAÇLARI'!C181</f>
        <v>MUSTAFA KARAGÜZEL</v>
      </c>
      <c r="D325" s="216">
        <f>'YÜKLENİCİ ARAÇLARI'!D181</f>
        <v>0</v>
      </c>
      <c r="E325" s="216" t="str">
        <f>'YÜKLENİCİ ARAÇLARI'!E181</f>
        <v>18:00/MESAİ</v>
      </c>
      <c r="F325" s="216">
        <f>'YÜKLENİCİ ARAÇLARI'!F181</f>
        <v>18</v>
      </c>
      <c r="G325" s="217">
        <f>'YÜKLENİCİ ARAÇLARI'!G181</f>
        <v>1250</v>
      </c>
      <c r="H325" s="217">
        <f>'YÜKLENİCİ ARAÇLARI'!H181</f>
        <v>22500</v>
      </c>
      <c r="I325" s="217">
        <f>'YÜKLENİCİ ARAÇLARI'!I181</f>
        <v>4500</v>
      </c>
      <c r="J325" s="217">
        <f>'YÜKLENİCİ ARAÇLARI'!J181</f>
        <v>27000</v>
      </c>
      <c r="K325" s="217">
        <f>'YÜKLENİCİ ARAÇLARI'!K181</f>
        <v>2250</v>
      </c>
      <c r="L325" s="217">
        <f>'YÜKLENİCİ ARAÇLARI'!L181</f>
        <v>24750</v>
      </c>
    </row>
    <row r="326" spans="1:12" s="218" customFormat="1" ht="15" thickTop="1" thickBot="1" x14ac:dyDescent="0.3">
      <c r="A326" s="216" t="str">
        <f>'YÜKLENİCİ ARAÇLARI'!A182</f>
        <v>GEDİK KAYNAK</v>
      </c>
      <c r="B326" s="216" t="str">
        <f>'YÜKLENİCİ ARAÇLARI'!B182</f>
        <v>HENDEK</v>
      </c>
      <c r="C326" s="216" t="str">
        <f>'YÜKLENİCİ ARAÇLARI'!C182</f>
        <v>MUSTAFA KARAGÜZEL</v>
      </c>
      <c r="D326" s="216">
        <f>'YÜKLENİCİ ARAÇLARI'!D182</f>
        <v>0</v>
      </c>
      <c r="E326" s="216" t="str">
        <f>'YÜKLENİCİ ARAÇLARI'!E182</f>
        <v>18:00/MESAİ</v>
      </c>
      <c r="F326" s="216">
        <f>'YÜKLENİCİ ARAÇLARI'!F182</f>
        <v>0</v>
      </c>
      <c r="G326" s="217">
        <f>'YÜKLENİCİ ARAÇLARI'!G182</f>
        <v>1250</v>
      </c>
      <c r="H326" s="217">
        <f>'YÜKLENİCİ ARAÇLARI'!H182</f>
        <v>0</v>
      </c>
      <c r="I326" s="217">
        <f>'YÜKLENİCİ ARAÇLARI'!I182</f>
        <v>0</v>
      </c>
      <c r="J326" s="217">
        <f>'YÜKLENİCİ ARAÇLARI'!J182</f>
        <v>0</v>
      </c>
      <c r="K326" s="217">
        <f>'YÜKLENİCİ ARAÇLARI'!K182</f>
        <v>0</v>
      </c>
      <c r="L326" s="217">
        <f>'YÜKLENİCİ ARAÇLARI'!L182</f>
        <v>0</v>
      </c>
    </row>
    <row r="327" spans="1:12" s="218" customFormat="1" ht="15" thickTop="1" thickBot="1" x14ac:dyDescent="0.3">
      <c r="A327" s="216" t="str">
        <f>'YÜKLENİCİ ARAÇLARI'!A185</f>
        <v>GEDİK KAYNAK</v>
      </c>
      <c r="B327" s="216" t="str">
        <f>'YÜKLENİCİ ARAÇLARI'!B185</f>
        <v>CUMA</v>
      </c>
      <c r="C327" s="216" t="str">
        <f>'YÜKLENİCİ ARAÇLARI'!C185</f>
        <v>MUSTAFA KARAGÜZEL</v>
      </c>
      <c r="D327" s="216">
        <f>'YÜKLENİCİ ARAÇLARI'!D185</f>
        <v>0</v>
      </c>
      <c r="E327" s="216" t="str">
        <f>'YÜKLENİCİ ARAÇLARI'!E185</f>
        <v>CUMA</v>
      </c>
      <c r="F327" s="216">
        <f>'YÜKLENİCİ ARAÇLARI'!F185</f>
        <v>3</v>
      </c>
      <c r="G327" s="217">
        <f>'YÜKLENİCİ ARAÇLARI'!G185</f>
        <v>1500</v>
      </c>
      <c r="H327" s="217">
        <f>'YÜKLENİCİ ARAÇLARI'!H185</f>
        <v>4500</v>
      </c>
      <c r="I327" s="217">
        <f>'YÜKLENİCİ ARAÇLARI'!I185</f>
        <v>900</v>
      </c>
      <c r="J327" s="217">
        <f>'YÜKLENİCİ ARAÇLARI'!J185</f>
        <v>5400</v>
      </c>
      <c r="K327" s="217">
        <f>'YÜKLENİCİ ARAÇLARI'!K185</f>
        <v>450</v>
      </c>
      <c r="L327" s="217">
        <f>'YÜKLENİCİ ARAÇLARI'!L185</f>
        <v>4950</v>
      </c>
    </row>
    <row r="328" spans="1:12" s="218" customFormat="1" ht="15" thickTop="1" thickBot="1" x14ac:dyDescent="0.3">
      <c r="A328" s="216" t="str">
        <f>'YÜKLENİCİ ARAÇLARI'!A186</f>
        <v>GEDİK KAYNAK</v>
      </c>
      <c r="B328" s="216" t="str">
        <f>'YÜKLENİCİ ARAÇLARI'!B186</f>
        <v>HENDEK</v>
      </c>
      <c r="C328" s="216" t="str">
        <f>'YÜKLENİCİ ARAÇLARI'!C186</f>
        <v>MUSTAFA KARAGÜZEL</v>
      </c>
      <c r="D328" s="216">
        <f>'YÜKLENİCİ ARAÇLARI'!D186</f>
        <v>0</v>
      </c>
      <c r="E328" s="216" t="str">
        <f>'YÜKLENİCİ ARAÇLARI'!E186</f>
        <v>20:00 MESAİ</v>
      </c>
      <c r="F328" s="216">
        <f>'YÜKLENİCİ ARAÇLARI'!F186</f>
        <v>18</v>
      </c>
      <c r="G328" s="217">
        <f>'YÜKLENİCİ ARAÇLARI'!G186</f>
        <v>1250</v>
      </c>
      <c r="H328" s="217">
        <f>'YÜKLENİCİ ARAÇLARI'!H186</f>
        <v>22500</v>
      </c>
      <c r="I328" s="217">
        <f>'YÜKLENİCİ ARAÇLARI'!I186</f>
        <v>4500</v>
      </c>
      <c r="J328" s="217">
        <f>'YÜKLENİCİ ARAÇLARI'!J186</f>
        <v>27000</v>
      </c>
      <c r="K328" s="217">
        <f>'YÜKLENİCİ ARAÇLARI'!K186</f>
        <v>2250</v>
      </c>
      <c r="L328" s="217">
        <f>'YÜKLENİCİ ARAÇLARI'!L186</f>
        <v>24750</v>
      </c>
    </row>
    <row r="329" spans="1:12" s="218" customFormat="1" ht="15" thickTop="1" thickBot="1" x14ac:dyDescent="0.3">
      <c r="A329" s="216" t="str">
        <f>'YÜKLENİCİ ARAÇLARI'!A187</f>
        <v>GEDİK KAYNAK</v>
      </c>
      <c r="B329" s="216" t="str">
        <f>'YÜKLENİCİ ARAÇLARI'!B187</f>
        <v>HENDEK</v>
      </c>
      <c r="C329" s="216" t="str">
        <f>'YÜKLENİCİ ARAÇLARI'!C187</f>
        <v>MUSTAFA KARAGÜZEL</v>
      </c>
      <c r="D329" s="216">
        <f>'YÜKLENİCİ ARAÇLARI'!D187</f>
        <v>0</v>
      </c>
      <c r="E329" s="216" t="str">
        <f>'YÜKLENİCİ ARAÇLARI'!E187</f>
        <v>20:00 MESAİ</v>
      </c>
      <c r="F329" s="216">
        <f>'YÜKLENİCİ ARAÇLARI'!F187</f>
        <v>18</v>
      </c>
      <c r="G329" s="217">
        <f>'YÜKLENİCİ ARAÇLARI'!G187</f>
        <v>1250</v>
      </c>
      <c r="H329" s="217">
        <f>'YÜKLENİCİ ARAÇLARI'!H187</f>
        <v>22500</v>
      </c>
      <c r="I329" s="217">
        <f>'YÜKLENİCİ ARAÇLARI'!I187</f>
        <v>4500</v>
      </c>
      <c r="J329" s="217">
        <f>'YÜKLENİCİ ARAÇLARI'!J187</f>
        <v>27000</v>
      </c>
      <c r="K329" s="217">
        <f>'YÜKLENİCİ ARAÇLARI'!K187</f>
        <v>2250</v>
      </c>
      <c r="L329" s="217">
        <f>'YÜKLENİCİ ARAÇLARI'!L187</f>
        <v>24750</v>
      </c>
    </row>
    <row r="330" spans="1:12" s="218" customFormat="1" ht="15" thickTop="1" thickBot="1" x14ac:dyDescent="0.3">
      <c r="A330" s="216" t="str">
        <f>'YÜKLENİCİ ARAÇLARI'!A188</f>
        <v>GEDİK KAYNAK</v>
      </c>
      <c r="B330" s="216" t="str">
        <f>'YÜKLENİCİ ARAÇLARI'!B188</f>
        <v>HENDEK</v>
      </c>
      <c r="C330" s="216" t="str">
        <f>'YÜKLENİCİ ARAÇLARI'!C188</f>
        <v>MUSTAFA KARAGÜZEL</v>
      </c>
      <c r="D330" s="216">
        <f>'YÜKLENİCİ ARAÇLARI'!D188</f>
        <v>0</v>
      </c>
      <c r="E330" s="216" t="str">
        <f>'YÜKLENİCİ ARAÇLARI'!E188</f>
        <v>20:00 MESAİ</v>
      </c>
      <c r="F330" s="216">
        <f>'YÜKLENİCİ ARAÇLARI'!F188</f>
        <v>35</v>
      </c>
      <c r="G330" s="217">
        <f>'YÜKLENİCİ ARAÇLARI'!G188</f>
        <v>1250</v>
      </c>
      <c r="H330" s="217">
        <f>'YÜKLENİCİ ARAÇLARI'!H188</f>
        <v>43750</v>
      </c>
      <c r="I330" s="217">
        <f>'YÜKLENİCİ ARAÇLARI'!I188</f>
        <v>8750</v>
      </c>
      <c r="J330" s="217">
        <f>'YÜKLENİCİ ARAÇLARI'!J188</f>
        <v>52500</v>
      </c>
      <c r="K330" s="217">
        <f>'YÜKLENİCİ ARAÇLARI'!K188</f>
        <v>4375</v>
      </c>
      <c r="L330" s="217">
        <f>'YÜKLENİCİ ARAÇLARI'!L188</f>
        <v>48125</v>
      </c>
    </row>
    <row r="331" spans="1:12" s="218" customFormat="1" ht="15" thickTop="1" thickBot="1" x14ac:dyDescent="0.3">
      <c r="A331" s="216" t="str">
        <f>'YÜKLENİCİ ARAÇLARI'!A197</f>
        <v>GEDİK KAYNAK</v>
      </c>
      <c r="B331" s="216" t="str">
        <f>'YÜKLENİCİ ARAÇLARI'!B197</f>
        <v>HENDEK</v>
      </c>
      <c r="C331" s="216" t="str">
        <f>'YÜKLENİCİ ARAÇLARI'!C197</f>
        <v>MUSTAFA KARAGÜZEL</v>
      </c>
      <c r="D331" s="216">
        <f>'YÜKLENİCİ ARAÇLARI'!D197</f>
        <v>0</v>
      </c>
      <c r="E331" s="216" t="str">
        <f>'YÜKLENİCİ ARAÇLARI'!E197</f>
        <v>PAZAR</v>
      </c>
      <c r="F331" s="216">
        <f>'YÜKLENİCİ ARAÇLARI'!F197</f>
        <v>7</v>
      </c>
      <c r="G331" s="217">
        <f>'YÜKLENİCİ ARAÇLARI'!G197</f>
        <v>1800</v>
      </c>
      <c r="H331" s="264">
        <f>'YÜKLENİCİ ARAÇLARI'!H197</f>
        <v>12600</v>
      </c>
      <c r="I331" s="264">
        <f>'YÜKLENİCİ ARAÇLARI'!I197</f>
        <v>2520</v>
      </c>
      <c r="J331" s="264">
        <f>'YÜKLENİCİ ARAÇLARI'!J197</f>
        <v>15120</v>
      </c>
      <c r="K331" s="264">
        <f>'YÜKLENİCİ ARAÇLARI'!K197</f>
        <v>1260</v>
      </c>
      <c r="L331" s="264">
        <f>'YÜKLENİCİ ARAÇLARI'!L197</f>
        <v>13860</v>
      </c>
    </row>
    <row r="332" spans="1:12" ht="16.2" thickTop="1" thickBot="1" x14ac:dyDescent="0.3">
      <c r="H332" s="300">
        <f>SUM(H293:H331)</f>
        <v>861900</v>
      </c>
      <c r="I332" s="263">
        <f>SUM(I293:I331)</f>
        <v>172380</v>
      </c>
      <c r="J332" s="263">
        <f>SUM(J293:J331)</f>
        <v>1034280</v>
      </c>
      <c r="K332" s="263">
        <f>SUM(K293:K331)</f>
        <v>86190</v>
      </c>
      <c r="L332" s="304">
        <f>SUM(L293:L331)</f>
        <v>948090</v>
      </c>
    </row>
    <row r="333" spans="1:12" ht="18.600000000000001" thickTop="1" thickBot="1" x14ac:dyDescent="0.35">
      <c r="A333" s="529" t="s">
        <v>111</v>
      </c>
      <c r="B333" s="529"/>
      <c r="C333" s="529"/>
      <c r="D333" s="181"/>
    </row>
    <row r="334" spans="1:12" ht="15" thickTop="1" thickBot="1" x14ac:dyDescent="0.3">
      <c r="A334" s="467" t="str">
        <f>'YÜKLENİCİ ARAÇLARI'!A134</f>
        <v>GEDİK DÖKÜM</v>
      </c>
      <c r="B334" s="467" t="str">
        <f>'YÜKLENİCİ ARAÇLARI'!B134</f>
        <v>ADAPAZARI 5/ ŞEKER MAHALLE</v>
      </c>
      <c r="C334" s="467" t="str">
        <f>'YÜKLENİCİ ARAÇLARI'!C134</f>
        <v>MUSTAFA ÖNAL</v>
      </c>
      <c r="D334" s="467" t="str">
        <f>'YÜKLENİCİ ARAÇLARI'!D134</f>
        <v>54 S 0476</v>
      </c>
      <c r="E334" s="467" t="str">
        <f>'YÜKLENİCİ ARAÇLARI'!E134</f>
        <v>GRŞ/ÇKŞ</v>
      </c>
      <c r="F334" s="467">
        <f>'YÜKLENİCİ ARAÇLARI'!F134</f>
        <v>18</v>
      </c>
      <c r="G334" s="468">
        <f>'YÜKLENİCİ ARAÇLARI'!G134</f>
        <v>2800</v>
      </c>
      <c r="H334" s="468">
        <f>'YÜKLENİCİ ARAÇLARI'!H134</f>
        <v>50400</v>
      </c>
      <c r="I334" s="468">
        <f>'YÜKLENİCİ ARAÇLARI'!I134</f>
        <v>10080</v>
      </c>
      <c r="J334" s="468">
        <f>'YÜKLENİCİ ARAÇLARI'!J134</f>
        <v>60480</v>
      </c>
      <c r="K334" s="468">
        <f>'YÜKLENİCİ ARAÇLARI'!K134</f>
        <v>5040</v>
      </c>
      <c r="L334" s="468">
        <f>'YÜKLENİCİ ARAÇLARI'!L134</f>
        <v>55440</v>
      </c>
    </row>
    <row r="335" spans="1:12" ht="15" thickTop="1" thickBot="1" x14ac:dyDescent="0.3">
      <c r="A335" s="467" t="str">
        <f>'YÜKLENİCİ ARAÇLARI'!A135</f>
        <v>GEDİK DÖKÜM</v>
      </c>
      <c r="B335" s="467" t="str">
        <f>'YÜKLENİCİ ARAÇLARI'!B135</f>
        <v>ADAPAZARI 5/ ŞEKER MAHALLE</v>
      </c>
      <c r="C335" s="467" t="str">
        <f>'YÜKLENİCİ ARAÇLARI'!C135</f>
        <v>MUSTAFA ÖNAL</v>
      </c>
      <c r="D335" s="467" t="str">
        <f>'YÜKLENİCİ ARAÇLARI'!D135</f>
        <v>54 S 0476</v>
      </c>
      <c r="E335" s="467" t="str">
        <f>'YÜKLENİCİ ARAÇLARI'!E135</f>
        <v>MESAİ</v>
      </c>
      <c r="F335" s="467">
        <f>'YÜKLENİCİ ARAÇLARI'!F135</f>
        <v>0</v>
      </c>
      <c r="G335" s="468">
        <f>'YÜKLENİCİ ARAÇLARI'!G135</f>
        <v>1750</v>
      </c>
      <c r="H335" s="469">
        <f>'YÜKLENİCİ ARAÇLARI'!H135</f>
        <v>0</v>
      </c>
      <c r="I335" s="469">
        <f>'YÜKLENİCİ ARAÇLARI'!I135</f>
        <v>0</v>
      </c>
      <c r="J335" s="469">
        <f>'YÜKLENİCİ ARAÇLARI'!J135</f>
        <v>0</v>
      </c>
      <c r="K335" s="469">
        <f>'YÜKLENİCİ ARAÇLARI'!K135</f>
        <v>0</v>
      </c>
      <c r="L335" s="469">
        <f>'YÜKLENİCİ ARAÇLARI'!L135</f>
        <v>0</v>
      </c>
    </row>
    <row r="336" spans="1:12" ht="16.2" thickTop="1" thickBot="1" x14ac:dyDescent="0.3">
      <c r="H336" s="263">
        <f>SUM(H334:H335)</f>
        <v>50400</v>
      </c>
      <c r="I336" s="263">
        <f>SUM(I334:I335)</f>
        <v>10080</v>
      </c>
      <c r="J336" s="263">
        <f>SUM(J334:J335)</f>
        <v>60480</v>
      </c>
      <c r="K336" s="263">
        <f>SUM(K334:K335)</f>
        <v>5040</v>
      </c>
      <c r="L336" s="263">
        <f>SUM(L334:L335)</f>
        <v>55440</v>
      </c>
    </row>
    <row r="337" spans="1:12" ht="18.600000000000001" thickTop="1" thickBot="1" x14ac:dyDescent="0.35">
      <c r="A337" s="530" t="s">
        <v>163</v>
      </c>
      <c r="B337" s="530"/>
      <c r="C337" s="530"/>
      <c r="D337" s="188"/>
    </row>
    <row r="338" spans="1:12" ht="15" thickTop="1" thickBot="1" x14ac:dyDescent="0.3">
      <c r="A338" s="467" t="str">
        <f>'YÜKLENİCİ ARAÇLARI'!A47</f>
        <v>BAŞAK TRAKTÖR</v>
      </c>
      <c r="B338" s="467" t="str">
        <f>'YÜKLENİCİ ARAÇLARI'!B47</f>
        <v>ARİFİYE/HANLIKÖY</v>
      </c>
      <c r="C338" s="467" t="str">
        <f>'YÜKLENİCİ ARAÇLARI'!C47</f>
        <v>MUSTAFA ÖZTÜRK</v>
      </c>
      <c r="D338" s="467"/>
      <c r="E338" s="467" t="str">
        <f>'YÜKLENİCİ ARAÇLARI'!E47</f>
        <v>GRŞ/ÇKŞ</v>
      </c>
      <c r="F338" s="467">
        <f>'YÜKLENİCİ ARAÇLARI'!F47</f>
        <v>13</v>
      </c>
      <c r="G338" s="468">
        <f>'YÜKLENİCİ ARAÇLARI'!G47</f>
        <v>1800</v>
      </c>
      <c r="H338" s="468">
        <f>'YÜKLENİCİ ARAÇLARI'!H47</f>
        <v>23400</v>
      </c>
      <c r="I338" s="468">
        <f>'YÜKLENİCİ ARAÇLARI'!I47</f>
        <v>4680</v>
      </c>
      <c r="J338" s="468">
        <f>'YÜKLENİCİ ARAÇLARI'!J47</f>
        <v>28080</v>
      </c>
      <c r="K338" s="468">
        <f>'YÜKLENİCİ ARAÇLARI'!K47</f>
        <v>2340</v>
      </c>
      <c r="L338" s="468">
        <f>'YÜKLENİCİ ARAÇLARI'!L47</f>
        <v>25740</v>
      </c>
    </row>
    <row r="339" spans="1:12" ht="15" thickTop="1" thickBot="1" x14ac:dyDescent="0.3">
      <c r="A339" s="467" t="str">
        <f>'YÜKLENİCİ ARAÇLARI'!A300</f>
        <v>ISILSAN</v>
      </c>
      <c r="B339" s="467" t="str">
        <f>'YÜKLENİCİ ARAÇLARI'!B300</f>
        <v>BIYAHANEARİFİYE 18:00 ÇIKIŞ</v>
      </c>
      <c r="C339" s="467" t="str">
        <f>'YÜKLENİCİ ARAÇLARI'!C300</f>
        <v>MUSTAFA ÖZTÜRK</v>
      </c>
      <c r="D339" s="467">
        <f>'YÜKLENİCİ ARAÇLARI'!D300</f>
        <v>0</v>
      </c>
      <c r="E339" s="467" t="str">
        <f>'YÜKLENİCİ ARAÇLARI'!E300</f>
        <v>GRŞ/ÇIK</v>
      </c>
      <c r="F339" s="467">
        <f>'YÜKLENİCİ ARAÇLARI'!F300</f>
        <v>22</v>
      </c>
      <c r="G339" s="468">
        <f>'YÜKLENİCİ ARAÇLARI'!G300</f>
        <v>900</v>
      </c>
      <c r="H339" s="469">
        <f>'YÜKLENİCİ ARAÇLARI'!H300</f>
        <v>19800</v>
      </c>
      <c r="I339" s="469">
        <f>'YÜKLENİCİ ARAÇLARI'!I300</f>
        <v>3960</v>
      </c>
      <c r="J339" s="469">
        <f>'YÜKLENİCİ ARAÇLARI'!J300</f>
        <v>23760</v>
      </c>
      <c r="K339" s="469">
        <f>'YÜKLENİCİ ARAÇLARI'!K300</f>
        <v>1980</v>
      </c>
      <c r="L339" s="469">
        <f>'YÜKLENİCİ ARAÇLARI'!L300</f>
        <v>21780</v>
      </c>
    </row>
    <row r="340" spans="1:12" ht="16.2" thickTop="1" thickBot="1" x14ac:dyDescent="0.3">
      <c r="H340" s="263">
        <f>SUM(H338:H339)</f>
        <v>43200</v>
      </c>
      <c r="I340" s="263">
        <f t="shared" ref="I340:L340" si="49">SUM(I338:I339)</f>
        <v>8640</v>
      </c>
      <c r="J340" s="263">
        <f t="shared" si="49"/>
        <v>51840</v>
      </c>
      <c r="K340" s="263">
        <f t="shared" si="49"/>
        <v>4320</v>
      </c>
      <c r="L340" s="263">
        <f t="shared" si="49"/>
        <v>47520</v>
      </c>
    </row>
    <row r="341" spans="1:12" ht="18.600000000000001" thickTop="1" thickBot="1" x14ac:dyDescent="0.35">
      <c r="A341" s="529" t="s">
        <v>499</v>
      </c>
      <c r="B341" s="529"/>
      <c r="C341" s="529"/>
      <c r="D341" s="181"/>
    </row>
    <row r="342" spans="1:12" ht="15" thickTop="1" thickBot="1" x14ac:dyDescent="0.3">
      <c r="A342" s="467" t="str">
        <f>'YÜKLENİCİ ARAÇLARI'!A12</f>
        <v>BAŞAK TRAKTÖR</v>
      </c>
      <c r="B342" s="467" t="str">
        <f>'YÜKLENİCİ ARAÇLARI'!B12</f>
        <v>Ş.FAB E.STAD.KENT PARK</v>
      </c>
      <c r="C342" s="467" t="str">
        <f>'YÜKLENİCİ ARAÇLARI'!C12</f>
        <v>NEVZAT ÖZBAY</v>
      </c>
      <c r="D342" s="467"/>
      <c r="E342" s="467" t="str">
        <f>'YÜKLENİCİ ARAÇLARI'!E12</f>
        <v>GRŞ/ÇKŞ</v>
      </c>
      <c r="F342" s="467">
        <f>'YÜKLENİCİ ARAÇLARI'!F12</f>
        <v>13</v>
      </c>
      <c r="G342" s="467">
        <f>'YÜKLENİCİ ARAÇLARI'!G12</f>
        <v>1800</v>
      </c>
      <c r="H342" s="469">
        <f>'YÜKLENİCİ ARAÇLARI'!H12</f>
        <v>23400</v>
      </c>
      <c r="I342" s="469">
        <f>'YÜKLENİCİ ARAÇLARI'!I12</f>
        <v>0</v>
      </c>
      <c r="J342" s="469">
        <f>'YÜKLENİCİ ARAÇLARI'!J12</f>
        <v>23400</v>
      </c>
      <c r="K342" s="469">
        <f>'YÜKLENİCİ ARAÇLARI'!K12</f>
        <v>0</v>
      </c>
      <c r="L342" s="469">
        <f>'YÜKLENİCİ ARAÇLARI'!L12</f>
        <v>23400</v>
      </c>
    </row>
    <row r="343" spans="1:12" s="186" customFormat="1" ht="16.2" thickTop="1" thickBot="1" x14ac:dyDescent="0.3">
      <c r="A343" s="193"/>
      <c r="B343" s="193"/>
      <c r="C343" s="193"/>
      <c r="D343" s="193"/>
      <c r="E343" s="318"/>
      <c r="F343" s="294"/>
      <c r="G343" s="281"/>
      <c r="H343" s="263">
        <f t="shared" ref="H343:L343" si="50">SUM(H342)</f>
        <v>23400</v>
      </c>
      <c r="I343" s="263">
        <f t="shared" si="50"/>
        <v>0</v>
      </c>
      <c r="J343" s="263">
        <f t="shared" si="50"/>
        <v>23400</v>
      </c>
      <c r="K343" s="263">
        <f t="shared" si="50"/>
        <v>0</v>
      </c>
      <c r="L343" s="263">
        <f t="shared" si="50"/>
        <v>23400</v>
      </c>
    </row>
    <row r="344" spans="1:12" s="192" customFormat="1" ht="19.2" hidden="1" customHeight="1" thickTop="1" thickBot="1" x14ac:dyDescent="0.3">
      <c r="A344" s="171" t="e">
        <f>#REF!</f>
        <v>#REF!</v>
      </c>
      <c r="B344" s="171" t="e">
        <f>#REF!</f>
        <v>#REF!</v>
      </c>
      <c r="C344" s="171" t="e">
        <f>#REF!</f>
        <v>#REF!</v>
      </c>
      <c r="D344" s="171"/>
      <c r="E344" s="216" t="e">
        <f>#REF!</f>
        <v>#REF!</v>
      </c>
      <c r="F344" s="216" t="e">
        <f>#REF!</f>
        <v>#REF!</v>
      </c>
      <c r="G344" s="217" t="e">
        <f>#REF!</f>
        <v>#REF!</v>
      </c>
      <c r="H344" s="292" t="e">
        <f>#REF!</f>
        <v>#REF!</v>
      </c>
      <c r="I344" s="292" t="e">
        <f>#REF!</f>
        <v>#REF!</v>
      </c>
      <c r="J344" s="292" t="e">
        <f>#REF!</f>
        <v>#REF!</v>
      </c>
      <c r="K344" s="292" t="e">
        <f>#REF!</f>
        <v>#REF!</v>
      </c>
      <c r="L344" s="292" t="e">
        <f>#REF!</f>
        <v>#REF!</v>
      </c>
    </row>
    <row r="345" spans="1:12" ht="15" hidden="1" thickTop="1" thickBot="1" x14ac:dyDescent="0.3">
      <c r="A345" s="171" t="s">
        <v>29</v>
      </c>
      <c r="B345" s="171" t="e">
        <f>#REF!</f>
        <v>#REF!</v>
      </c>
      <c r="C345" s="171" t="e">
        <f>#REF!</f>
        <v>#REF!</v>
      </c>
      <c r="D345" s="171"/>
      <c r="E345" s="216" t="e">
        <f>#REF!</f>
        <v>#REF!</v>
      </c>
      <c r="F345" s="216" t="e">
        <f>#REF!</f>
        <v>#REF!</v>
      </c>
      <c r="G345" s="217" t="e">
        <f>#REF!</f>
        <v>#REF!</v>
      </c>
      <c r="H345" s="217" t="e">
        <f>#REF!</f>
        <v>#REF!</v>
      </c>
      <c r="I345" s="217" t="e">
        <f>#REF!</f>
        <v>#REF!</v>
      </c>
      <c r="J345" s="217" t="e">
        <f>#REF!</f>
        <v>#REF!</v>
      </c>
      <c r="K345" s="217" t="e">
        <f>#REF!</f>
        <v>#REF!</v>
      </c>
      <c r="L345" s="217" t="e">
        <f>#REF!</f>
        <v>#REF!</v>
      </c>
    </row>
    <row r="346" spans="1:12" ht="18" hidden="1" thickTop="1" x14ac:dyDescent="0.3">
      <c r="A346" s="537" t="e">
        <f>#REF!</f>
        <v>#REF!</v>
      </c>
      <c r="B346" s="537"/>
      <c r="C346" s="537"/>
      <c r="D346" s="181"/>
    </row>
    <row r="347" spans="1:12" ht="15" hidden="1" thickTop="1" thickBot="1" x14ac:dyDescent="0.3">
      <c r="A347" s="171" t="e">
        <f>#REF!</f>
        <v>#REF!</v>
      </c>
      <c r="B347" s="171" t="e">
        <f>#REF!</f>
        <v>#REF!</v>
      </c>
      <c r="C347" s="171" t="e">
        <f>#REF!</f>
        <v>#REF!</v>
      </c>
      <c r="D347" s="171"/>
      <c r="E347" s="216" t="e">
        <f>#REF!</f>
        <v>#REF!</v>
      </c>
      <c r="F347" s="216" t="e">
        <f>#REF!</f>
        <v>#REF!</v>
      </c>
      <c r="G347" s="217" t="e">
        <f>#REF!</f>
        <v>#REF!</v>
      </c>
      <c r="H347" s="217" t="e">
        <f>#REF!</f>
        <v>#REF!</v>
      </c>
      <c r="I347" s="217" t="e">
        <f>#REF!</f>
        <v>#REF!</v>
      </c>
      <c r="J347" s="217" t="e">
        <f>#REF!</f>
        <v>#REF!</v>
      </c>
      <c r="K347" s="217" t="e">
        <f>#REF!</f>
        <v>#REF!</v>
      </c>
      <c r="L347" s="217" t="e">
        <f>#REF!</f>
        <v>#REF!</v>
      </c>
    </row>
    <row r="348" spans="1:12" ht="15" hidden="1" thickTop="1" thickBot="1" x14ac:dyDescent="0.3">
      <c r="A348" s="171" t="e">
        <f>#REF!</f>
        <v>#REF!</v>
      </c>
      <c r="B348" s="171" t="e">
        <f>#REF!</f>
        <v>#REF!</v>
      </c>
      <c r="C348" s="171" t="e">
        <f>#REF!</f>
        <v>#REF!</v>
      </c>
      <c r="D348" s="171"/>
      <c r="E348" s="216" t="e">
        <f>#REF!</f>
        <v>#REF!</v>
      </c>
      <c r="F348" s="216" t="e">
        <f>#REF!</f>
        <v>#REF!</v>
      </c>
      <c r="G348" s="217" t="e">
        <f>#REF!</f>
        <v>#REF!</v>
      </c>
      <c r="H348" s="217" t="e">
        <f>#REF!</f>
        <v>#REF!</v>
      </c>
      <c r="I348" s="217" t="e">
        <f>#REF!</f>
        <v>#REF!</v>
      </c>
      <c r="J348" s="217" t="e">
        <f>#REF!</f>
        <v>#REF!</v>
      </c>
      <c r="K348" s="217" t="e">
        <f>#REF!</f>
        <v>#REF!</v>
      </c>
      <c r="L348" s="217" t="e">
        <f>#REF!</f>
        <v>#REF!</v>
      </c>
    </row>
    <row r="349" spans="1:12" ht="15.6" hidden="1" thickTop="1" x14ac:dyDescent="0.25">
      <c r="H349" s="281" t="e">
        <f>SUM(H347:H348)</f>
        <v>#REF!</v>
      </c>
      <c r="I349" s="281" t="e">
        <f t="shared" ref="I349:L349" si="51">SUM(I347:I348)</f>
        <v>#REF!</v>
      </c>
      <c r="J349" s="281" t="e">
        <f t="shared" si="51"/>
        <v>#REF!</v>
      </c>
      <c r="K349" s="281" t="e">
        <f t="shared" si="51"/>
        <v>#REF!</v>
      </c>
      <c r="L349" s="281" t="e">
        <f t="shared" si="51"/>
        <v>#REF!</v>
      </c>
    </row>
    <row r="350" spans="1:12" ht="15.6" thickTop="1" x14ac:dyDescent="0.25">
      <c r="H350" s="281"/>
      <c r="I350" s="281"/>
      <c r="J350" s="281"/>
      <c r="K350" s="281"/>
      <c r="L350" s="281"/>
    </row>
    <row r="351" spans="1:12" ht="18" thickBot="1" x14ac:dyDescent="0.35">
      <c r="A351" s="529" t="s">
        <v>170</v>
      </c>
      <c r="B351" s="529"/>
      <c r="C351" s="529"/>
      <c r="D351" s="181"/>
    </row>
    <row r="352" spans="1:12" ht="15" thickTop="1" thickBot="1" x14ac:dyDescent="0.3">
      <c r="A352" s="467" t="str">
        <f>'YÜKLENİCİ ARAÇLARI'!A23</f>
        <v>BAŞAK TRAKTÖR</v>
      </c>
      <c r="B352" s="467" t="str">
        <f>'YÜKLENİCİ ARAÇLARI'!B23</f>
        <v>GÜNEŞLER/OTTOMAN/Y.STAD</v>
      </c>
      <c r="C352" s="467" t="str">
        <f>'YÜKLENİCİ ARAÇLARI'!C23</f>
        <v>RAMAZAN /MERVE YILMAZ</v>
      </c>
      <c r="D352" s="467"/>
      <c r="E352" s="467" t="str">
        <f>'YÜKLENİCİ ARAÇLARI'!E23</f>
        <v>GRŞ/ÇKŞ</v>
      </c>
      <c r="F352" s="467">
        <f>'YÜKLENİCİ ARAÇLARI'!F23</f>
        <v>13</v>
      </c>
      <c r="G352" s="468">
        <f>'YÜKLENİCİ ARAÇLARI'!G23</f>
        <v>1800</v>
      </c>
      <c r="H352" s="468">
        <f>'YÜKLENİCİ ARAÇLARI'!H23</f>
        <v>23400</v>
      </c>
      <c r="I352" s="468">
        <f>'YÜKLENİCİ ARAÇLARI'!I23</f>
        <v>4680</v>
      </c>
      <c r="J352" s="468">
        <f>'YÜKLENİCİ ARAÇLARI'!J23</f>
        <v>28080</v>
      </c>
      <c r="K352" s="468">
        <f>'YÜKLENİCİ ARAÇLARI'!K23</f>
        <v>2340</v>
      </c>
      <c r="L352" s="468">
        <f>'YÜKLENİCİ ARAÇLARI'!L23</f>
        <v>25740</v>
      </c>
    </row>
    <row r="353" spans="1:14" ht="15" thickTop="1" thickBot="1" x14ac:dyDescent="0.3">
      <c r="A353" s="467" t="str">
        <f>'YÜKLENİCİ ARAÇLARI'!A44</f>
        <v>BAŞAK TRAKTÖR</v>
      </c>
      <c r="B353" s="467" t="str">
        <f>'YÜKLENİCİ ARAÇLARI'!B44</f>
        <v>AŞIRLAR YAZLIK</v>
      </c>
      <c r="C353" s="467" t="str">
        <f>'YÜKLENİCİ ARAÇLARI'!C44</f>
        <v>RAMAZAN /MERVE YILMAZ</v>
      </c>
      <c r="D353" s="467">
        <f>'YÜKLENİCİ ARAÇLARI'!D44</f>
        <v>0</v>
      </c>
      <c r="E353" s="467" t="str">
        <f>'YÜKLENİCİ ARAÇLARI'!E44</f>
        <v>GRŞ/ÇKŞ</v>
      </c>
      <c r="F353" s="467">
        <f>'YÜKLENİCİ ARAÇLARI'!F44</f>
        <v>14</v>
      </c>
      <c r="G353" s="468">
        <f>'YÜKLENİCİ ARAÇLARI'!G44</f>
        <v>2650</v>
      </c>
      <c r="H353" s="469">
        <f>'YÜKLENİCİ ARAÇLARI'!H44</f>
        <v>37100</v>
      </c>
      <c r="I353" s="469">
        <f>'YÜKLENİCİ ARAÇLARI'!I44</f>
        <v>7420</v>
      </c>
      <c r="J353" s="469">
        <f>'YÜKLENİCİ ARAÇLARI'!J44</f>
        <v>44520</v>
      </c>
      <c r="K353" s="469">
        <f>'YÜKLENİCİ ARAÇLARI'!K44</f>
        <v>3710</v>
      </c>
      <c r="L353" s="469">
        <f>'YÜKLENİCİ ARAÇLARI'!L44</f>
        <v>40810</v>
      </c>
    </row>
    <row r="354" spans="1:14" ht="16.2" thickTop="1" thickBot="1" x14ac:dyDescent="0.3">
      <c r="H354" s="263">
        <f>SUM(H352:H353)</f>
        <v>60500</v>
      </c>
      <c r="I354" s="263">
        <f t="shared" ref="I354:L354" si="52">SUM(I352:I353)</f>
        <v>12100</v>
      </c>
      <c r="J354" s="263">
        <f t="shared" si="52"/>
        <v>72600</v>
      </c>
      <c r="K354" s="263">
        <f t="shared" si="52"/>
        <v>6050</v>
      </c>
      <c r="L354" s="263">
        <f t="shared" si="52"/>
        <v>66550</v>
      </c>
    </row>
    <row r="355" spans="1:14" ht="15.6" thickTop="1" x14ac:dyDescent="0.25">
      <c r="H355" s="281"/>
      <c r="I355" s="281"/>
      <c r="J355" s="281"/>
      <c r="K355" s="281"/>
      <c r="L355" s="281"/>
    </row>
    <row r="356" spans="1:14" ht="18" thickBot="1" x14ac:dyDescent="0.35">
      <c r="A356" s="529" t="s">
        <v>484</v>
      </c>
      <c r="B356" s="529"/>
      <c r="C356" s="529"/>
      <c r="D356" s="181"/>
    </row>
    <row r="357" spans="1:14" ht="15" thickTop="1" thickBot="1" x14ac:dyDescent="0.3">
      <c r="A357" s="467" t="str">
        <f>'YÜKLENİCİ ARAÇLARI'!A21</f>
        <v>BAŞAK TRAKTÖR</v>
      </c>
      <c r="B357" s="467" t="str">
        <f>'YÜKLENİCİ ARAÇLARI'!B21</f>
        <v>ESENCE -2-//BEKİRPAŞA</v>
      </c>
      <c r="C357" s="467" t="str">
        <f>'YÜKLENİCİ ARAÇLARI'!C21</f>
        <v>RAMİS GÜMÜŞ</v>
      </c>
      <c r="D357" s="467"/>
      <c r="E357" s="467" t="str">
        <f>'YÜKLENİCİ ARAÇLARI'!E21</f>
        <v>GRŞ/ÇKŞ</v>
      </c>
      <c r="F357" s="467">
        <f>'YÜKLENİCİ ARAÇLARI'!F21</f>
        <v>13</v>
      </c>
      <c r="G357" s="468">
        <f>'YÜKLENİCİ ARAÇLARI'!G21</f>
        <v>2000</v>
      </c>
      <c r="H357" s="468">
        <f>'YÜKLENİCİ ARAÇLARI'!H21</f>
        <v>26000</v>
      </c>
      <c r="I357" s="468">
        <f>'YÜKLENİCİ ARAÇLARI'!I21</f>
        <v>5200</v>
      </c>
      <c r="J357" s="468">
        <f>'YÜKLENİCİ ARAÇLARI'!J21</f>
        <v>31200</v>
      </c>
      <c r="K357" s="468">
        <f>'YÜKLENİCİ ARAÇLARI'!K21</f>
        <v>2600</v>
      </c>
      <c r="L357" s="468">
        <f>'YÜKLENİCİ ARAÇLARI'!L21</f>
        <v>28600</v>
      </c>
    </row>
    <row r="358" spans="1:14" ht="15" thickTop="1" thickBot="1" x14ac:dyDescent="0.3">
      <c r="A358" s="474" t="str">
        <f>'YÜKLENİCİ ARAÇLARI'!A41</f>
        <v>BAŞAK TRAKTÖR</v>
      </c>
      <c r="B358" s="474" t="str">
        <f>'YÜKLENİCİ ARAÇLARI'!B41</f>
        <v>KARAPÜRÇEK/EKİNLİ/ÇAYBAŞI</v>
      </c>
      <c r="C358" s="474" t="str">
        <f>'YÜKLENİCİ ARAÇLARI'!C41</f>
        <v>RAMİS -HAKAN GÜMÜŞ</v>
      </c>
      <c r="D358" s="474"/>
      <c r="E358" s="474" t="str">
        <f>'YÜKLENİCİ ARAÇLARI'!E41</f>
        <v>GRŞ/ÇKŞ</v>
      </c>
      <c r="F358" s="474">
        <f>'YÜKLENİCİ ARAÇLARI'!F41</f>
        <v>17</v>
      </c>
      <c r="G358" s="475">
        <f>'YÜKLENİCİ ARAÇLARI'!G41</f>
        <v>2650</v>
      </c>
      <c r="H358" s="475">
        <f>'YÜKLENİCİ ARAÇLARI'!H41</f>
        <v>45050</v>
      </c>
      <c r="I358" s="475">
        <f>'YÜKLENİCİ ARAÇLARI'!I41</f>
        <v>9010</v>
      </c>
      <c r="J358" s="475">
        <f>'YÜKLENİCİ ARAÇLARI'!J41</f>
        <v>54060</v>
      </c>
      <c r="K358" s="475">
        <f>'YÜKLENİCİ ARAÇLARI'!K41</f>
        <v>4505</v>
      </c>
      <c r="L358" s="475">
        <f>'YÜKLENİCİ ARAÇLARI'!L41</f>
        <v>49555</v>
      </c>
      <c r="M358" s="173" t="s">
        <v>585</v>
      </c>
    </row>
    <row r="359" spans="1:14" ht="15" hidden="1" thickTop="1" thickBot="1" x14ac:dyDescent="0.3">
      <c r="A359" s="171" t="str">
        <f>'YÜKLENİCİ ARAÇLARI'!A42</f>
        <v>BAŞAK TRAKTÖR</v>
      </c>
      <c r="B359" s="171" t="str">
        <f>'YÜKLENİCİ ARAÇLARI'!B42</f>
        <v>MESAİ</v>
      </c>
      <c r="C359" s="171" t="str">
        <f>'YÜKLENİCİ ARAÇLARI'!C42</f>
        <v>RAMİS -HAKAN GÜMÜŞ</v>
      </c>
      <c r="D359" s="171"/>
      <c r="E359" s="216" t="str">
        <f>'YÜKLENİCİ ARAÇLARI'!E42</f>
        <v>MESAİ</v>
      </c>
      <c r="F359" s="216">
        <f>'YÜKLENİCİ ARAÇLARI'!F42</f>
        <v>0</v>
      </c>
      <c r="G359" s="217">
        <f>'YÜKLENİCİ ARAÇLARI'!G42</f>
        <v>0</v>
      </c>
      <c r="H359" s="217">
        <f>'YÜKLENİCİ ARAÇLARI'!H42</f>
        <v>0</v>
      </c>
      <c r="I359" s="217">
        <f>'YÜKLENİCİ ARAÇLARI'!I42</f>
        <v>0</v>
      </c>
      <c r="J359" s="217">
        <f>'YÜKLENİCİ ARAÇLARI'!J42</f>
        <v>0</v>
      </c>
      <c r="K359" s="217">
        <f>'YÜKLENİCİ ARAÇLARI'!K42</f>
        <v>0</v>
      </c>
      <c r="L359" s="217">
        <f>'YÜKLENİCİ ARAÇLARI'!L42</f>
        <v>0</v>
      </c>
    </row>
    <row r="360" spans="1:14" ht="15" thickTop="1" thickBot="1" x14ac:dyDescent="0.3">
      <c r="A360" s="467" t="str">
        <f>'YÜKLENİCİ ARAÇLARI'!A307</f>
        <v>B/PLAS</v>
      </c>
      <c r="B360" s="467" t="str">
        <f>'YÜKLENİCİ ARAÇLARI'!B307</f>
        <v>KORUCUK</v>
      </c>
      <c r="C360" s="467" t="str">
        <f>'YÜKLENİCİ ARAÇLARI'!C307</f>
        <v>RAMİS  HAKAN GÜMÜŞ</v>
      </c>
      <c r="D360" s="467">
        <f>'YÜKLENİCİ ARAÇLARI'!D307</f>
        <v>0</v>
      </c>
      <c r="E360" s="467" t="str">
        <f>'YÜKLENİCİ ARAÇLARI'!E307</f>
        <v>ÇİFT</v>
      </c>
      <c r="F360" s="467">
        <f>'YÜKLENİCİ ARAÇLARI'!F307</f>
        <v>1</v>
      </c>
      <c r="G360" s="468">
        <f>'YÜKLENİCİ ARAÇLARI'!G307</f>
        <v>1300</v>
      </c>
      <c r="H360" s="468">
        <f>'YÜKLENİCİ ARAÇLARI'!H307</f>
        <v>1300</v>
      </c>
      <c r="I360" s="468">
        <f>'YÜKLENİCİ ARAÇLARI'!I307</f>
        <v>260</v>
      </c>
      <c r="J360" s="468">
        <f>'YÜKLENİCİ ARAÇLARI'!J307</f>
        <v>1560</v>
      </c>
      <c r="K360" s="468">
        <f>'YÜKLENİCİ ARAÇLARI'!K307</f>
        <v>130</v>
      </c>
      <c r="L360" s="468">
        <f>'YÜKLENİCİ ARAÇLARI'!L307</f>
        <v>1430</v>
      </c>
    </row>
    <row r="361" spans="1:14" ht="15" thickTop="1" thickBot="1" x14ac:dyDescent="0.3">
      <c r="A361" s="467" t="str">
        <f>'YÜKLENİCİ ARAÇLARI'!A308</f>
        <v>B/PLAS</v>
      </c>
      <c r="B361" s="467" t="str">
        <f>'YÜKLENİCİ ARAÇLARI'!B308</f>
        <v>KORUCUK</v>
      </c>
      <c r="C361" s="467" t="str">
        <f>'YÜKLENİCİ ARAÇLARI'!C308</f>
        <v>RAMİS  HAKAN GÜMÜŞ</v>
      </c>
      <c r="D361" s="467">
        <f>'YÜKLENİCİ ARAÇLARI'!D308</f>
        <v>0</v>
      </c>
      <c r="E361" s="467" t="str">
        <f>'YÜKLENİCİ ARAÇLARI'!E308</f>
        <v>TEK</v>
      </c>
      <c r="F361" s="467">
        <f>'YÜKLENİCİ ARAÇLARI'!F308</f>
        <v>1</v>
      </c>
      <c r="G361" s="468">
        <f>'YÜKLENİCİ ARAÇLARI'!G308</f>
        <v>1000</v>
      </c>
      <c r="H361" s="468">
        <f>'YÜKLENİCİ ARAÇLARI'!H308</f>
        <v>1000</v>
      </c>
      <c r="I361" s="468">
        <f>'YÜKLENİCİ ARAÇLARI'!I308</f>
        <v>200</v>
      </c>
      <c r="J361" s="468">
        <f>'YÜKLENİCİ ARAÇLARI'!J308</f>
        <v>1200</v>
      </c>
      <c r="K361" s="468">
        <f>'YÜKLENİCİ ARAÇLARI'!K308</f>
        <v>100</v>
      </c>
      <c r="L361" s="468">
        <f>'YÜKLENİCİ ARAÇLARI'!L308</f>
        <v>1100</v>
      </c>
    </row>
    <row r="362" spans="1:14" ht="15" thickTop="1" thickBot="1" x14ac:dyDescent="0.3">
      <c r="A362" s="474" t="str">
        <f>'YÜKLENİCİ ARAÇLARI'!A309</f>
        <v>B/PLAS</v>
      </c>
      <c r="B362" s="474" t="str">
        <f>'YÜKLENİCİ ARAÇLARI'!B309</f>
        <v>ARİFİYE BEŞKÖPRÜ</v>
      </c>
      <c r="C362" s="474" t="str">
        <f>'YÜKLENİCİ ARAÇLARI'!C309</f>
        <v>RAMİS  HAKAN GÜMÜŞ</v>
      </c>
      <c r="D362" s="474">
        <f>'YÜKLENİCİ ARAÇLARI'!D309</f>
        <v>0</v>
      </c>
      <c r="E362" s="474" t="str">
        <f>'YÜKLENİCİ ARAÇLARI'!E309</f>
        <v>ÇİFT</v>
      </c>
      <c r="F362" s="474">
        <f>'YÜKLENİCİ ARAÇLARI'!F309</f>
        <v>78</v>
      </c>
      <c r="G362" s="475">
        <f>'YÜKLENİCİ ARAÇLARI'!G309</f>
        <v>1180</v>
      </c>
      <c r="H362" s="475">
        <f>'YÜKLENİCİ ARAÇLARI'!H309</f>
        <v>92040</v>
      </c>
      <c r="I362" s="475">
        <f>'YÜKLENİCİ ARAÇLARI'!I309</f>
        <v>18408</v>
      </c>
      <c r="J362" s="475">
        <f>'YÜKLENİCİ ARAÇLARI'!J309</f>
        <v>110448</v>
      </c>
      <c r="K362" s="475">
        <f>'YÜKLENİCİ ARAÇLARI'!K309</f>
        <v>9204</v>
      </c>
      <c r="L362" s="475">
        <f>'YÜKLENİCİ ARAÇLARI'!L309</f>
        <v>101244</v>
      </c>
    </row>
    <row r="363" spans="1:14" ht="15" thickTop="1" thickBot="1" x14ac:dyDescent="0.3">
      <c r="A363" s="474" t="str">
        <f>'YÜKLENİCİ ARAÇLARI'!A310</f>
        <v>B/PLAS</v>
      </c>
      <c r="B363" s="474" t="str">
        <f>'YÜKLENİCİ ARAÇLARI'!B310</f>
        <v>ARİFİYE BEŞKÖPRÜ</v>
      </c>
      <c r="C363" s="474" t="str">
        <f>'YÜKLENİCİ ARAÇLARI'!C310</f>
        <v>RAMİS  HAKAN GÜMÜŞ</v>
      </c>
      <c r="D363" s="474">
        <f>'YÜKLENİCİ ARAÇLARI'!D310</f>
        <v>0</v>
      </c>
      <c r="E363" s="474" t="str">
        <f>'YÜKLENİCİ ARAÇLARI'!E310</f>
        <v>TEK</v>
      </c>
      <c r="F363" s="474">
        <f>'YÜKLENİCİ ARAÇLARI'!F310</f>
        <v>28</v>
      </c>
      <c r="G363" s="475">
        <f>'YÜKLENİCİ ARAÇLARI'!G310</f>
        <v>875</v>
      </c>
      <c r="H363" s="476">
        <f>'YÜKLENİCİ ARAÇLARI'!H310</f>
        <v>24500</v>
      </c>
      <c r="I363" s="476">
        <f>'YÜKLENİCİ ARAÇLARI'!I310</f>
        <v>4900</v>
      </c>
      <c r="J363" s="476">
        <f>'YÜKLENİCİ ARAÇLARI'!J310</f>
        <v>29400</v>
      </c>
      <c r="K363" s="476">
        <f>'YÜKLENİCİ ARAÇLARI'!K310</f>
        <v>2450</v>
      </c>
      <c r="L363" s="476">
        <f>'YÜKLENİCİ ARAÇLARI'!L310</f>
        <v>26950</v>
      </c>
      <c r="M363" s="173">
        <v>18040</v>
      </c>
      <c r="N363" s="173" t="s">
        <v>586</v>
      </c>
    </row>
    <row r="364" spans="1:14" ht="16.2" thickTop="1" thickBot="1" x14ac:dyDescent="0.3">
      <c r="H364" s="263">
        <f>SUM(H357:H363)</f>
        <v>189890</v>
      </c>
      <c r="I364" s="263">
        <f t="shared" ref="I364:L364" si="53">SUM(I357:I363)</f>
        <v>37978</v>
      </c>
      <c r="J364" s="263">
        <f t="shared" si="53"/>
        <v>227868</v>
      </c>
      <c r="K364" s="263">
        <f t="shared" si="53"/>
        <v>18989</v>
      </c>
      <c r="L364" s="263">
        <f t="shared" si="53"/>
        <v>208879</v>
      </c>
    </row>
    <row r="365" spans="1:14" ht="15.6" thickTop="1" x14ac:dyDescent="0.25">
      <c r="H365" s="281"/>
      <c r="I365" s="281"/>
      <c r="J365" s="281"/>
      <c r="K365" s="281"/>
      <c r="L365" s="281"/>
    </row>
    <row r="366" spans="1:14" ht="15" x14ac:dyDescent="0.25">
      <c r="H366" s="281"/>
      <c r="I366" s="281"/>
      <c r="J366" s="281"/>
      <c r="K366" s="281"/>
      <c r="L366" s="281"/>
    </row>
    <row r="367" spans="1:14" ht="18" thickBot="1" x14ac:dyDescent="0.35">
      <c r="A367" s="529" t="s">
        <v>498</v>
      </c>
      <c r="B367" s="529"/>
      <c r="C367" s="529"/>
      <c r="D367" s="181"/>
    </row>
    <row r="368" spans="1:14" ht="15" thickTop="1" thickBot="1" x14ac:dyDescent="0.3">
      <c r="A368" s="467" t="str">
        <f>'YÜKLENİCİ ARAÇLARI'!A5</f>
        <v>BAŞAK TRAKTÖR</v>
      </c>
      <c r="B368" s="467" t="str">
        <f>'YÜKLENİCİ ARAÇLARI'!B5</f>
        <v>KAZIMPAŞA ADATIP TEK</v>
      </c>
      <c r="C368" s="467" t="str">
        <f>'YÜKLENİCİ ARAÇLARI'!C5</f>
        <v>SAFFET DİN (BÖLGEM TRZ)</v>
      </c>
      <c r="D368" s="467"/>
      <c r="E368" s="467" t="str">
        <f>'YÜKLENİCİ ARAÇLARI'!E5</f>
        <v>GRŞ/ÇKŞ</v>
      </c>
      <c r="F368" s="467">
        <f>'YÜKLENİCİ ARAÇLARI'!F5</f>
        <v>13</v>
      </c>
      <c r="G368" s="468">
        <f>'YÜKLENİCİ ARAÇLARI'!G5</f>
        <v>2900</v>
      </c>
      <c r="H368" s="469">
        <f>'YÜKLENİCİ ARAÇLARI'!H5</f>
        <v>37700</v>
      </c>
      <c r="I368" s="469">
        <f>'YÜKLENİCİ ARAÇLARI'!I5</f>
        <v>7540</v>
      </c>
      <c r="J368" s="469">
        <f>'YÜKLENİCİ ARAÇLARI'!J5</f>
        <v>45240</v>
      </c>
      <c r="K368" s="469">
        <f>'YÜKLENİCİ ARAÇLARI'!K5</f>
        <v>3770</v>
      </c>
      <c r="L368" s="469">
        <f>'YÜKLENİCİ ARAÇLARI'!L5</f>
        <v>41470</v>
      </c>
    </row>
    <row r="369" spans="1:12" s="186" customFormat="1" ht="16.2" thickTop="1" thickBot="1" x14ac:dyDescent="0.3">
      <c r="A369" s="193"/>
      <c r="B369" s="193"/>
      <c r="C369" s="193"/>
      <c r="D369" s="193"/>
      <c r="E369" s="318"/>
      <c r="F369" s="294"/>
      <c r="G369" s="281"/>
      <c r="H369" s="263">
        <f t="shared" ref="H369:L369" si="54">SUM(H368)</f>
        <v>37700</v>
      </c>
      <c r="I369" s="263">
        <f t="shared" si="54"/>
        <v>7540</v>
      </c>
      <c r="J369" s="263">
        <f t="shared" si="54"/>
        <v>45240</v>
      </c>
      <c r="K369" s="263">
        <f t="shared" si="54"/>
        <v>3770</v>
      </c>
      <c r="L369" s="263">
        <f t="shared" si="54"/>
        <v>41470</v>
      </c>
    </row>
    <row r="370" spans="1:12" ht="18.600000000000001" thickTop="1" thickBot="1" x14ac:dyDescent="0.35">
      <c r="A370" s="529" t="s">
        <v>257</v>
      </c>
      <c r="B370" s="529"/>
      <c r="C370" s="529"/>
      <c r="D370" s="181"/>
    </row>
    <row r="371" spans="1:12" ht="15" thickTop="1" thickBot="1" x14ac:dyDescent="0.3">
      <c r="A371" s="467" t="str">
        <f>'YÜKLENİCİ ARAÇLARI'!A241</f>
        <v>BURDA BEBEK</v>
      </c>
      <c r="B371" s="467" t="str">
        <f>'YÜKLENİCİ ARAÇLARI'!B241</f>
        <v>HENDEK PIRILTI</v>
      </c>
      <c r="C371" s="467" t="str">
        <f>'YÜKLENİCİ ARAÇLARI'!C241</f>
        <v>SEFA ÖZPİLAVI</v>
      </c>
      <c r="D371" s="171" t="str">
        <f>'YÜKLENİCİ ARAÇLARI'!D241</f>
        <v>54 S 1651</v>
      </c>
      <c r="E371" s="467" t="str">
        <f>'YÜKLENİCİ ARAÇLARI'!E241</f>
        <v>GRŞ/ÇK/TEK</v>
      </c>
      <c r="F371" s="467">
        <f>'YÜKLENİCİ ARAÇLARI'!F241</f>
        <v>36</v>
      </c>
      <c r="G371" s="468">
        <f>'YÜKLENİCİ ARAÇLARI'!G241</f>
        <v>900</v>
      </c>
      <c r="H371" s="469">
        <f>'YÜKLENİCİ ARAÇLARI'!H241</f>
        <v>32400</v>
      </c>
      <c r="I371" s="469">
        <f>'YÜKLENİCİ ARAÇLARI'!I241</f>
        <v>6480</v>
      </c>
      <c r="J371" s="469">
        <f>'YÜKLENİCİ ARAÇLARI'!J241</f>
        <v>38880</v>
      </c>
      <c r="K371" s="469">
        <f>'YÜKLENİCİ ARAÇLARI'!K241</f>
        <v>3240</v>
      </c>
      <c r="L371" s="469">
        <f>'YÜKLENİCİ ARAÇLARI'!L241</f>
        <v>35640</v>
      </c>
    </row>
    <row r="372" spans="1:12" ht="18.600000000000001" thickTop="1" thickBot="1" x14ac:dyDescent="0.35">
      <c r="H372" s="305">
        <f>SUM(H371)</f>
        <v>32400</v>
      </c>
      <c r="I372" s="305">
        <f t="shared" ref="I372:L372" si="55">SUM(I371)</f>
        <v>6480</v>
      </c>
      <c r="J372" s="305">
        <f t="shared" si="55"/>
        <v>38880</v>
      </c>
      <c r="K372" s="305">
        <f t="shared" si="55"/>
        <v>3240</v>
      </c>
      <c r="L372" s="305">
        <f t="shared" si="55"/>
        <v>35640</v>
      </c>
    </row>
    <row r="373" spans="1:12" ht="18.600000000000001" thickTop="1" thickBot="1" x14ac:dyDescent="0.35">
      <c r="A373" s="529" t="s">
        <v>19</v>
      </c>
      <c r="B373" s="529"/>
      <c r="C373" s="529"/>
      <c r="D373" s="181"/>
    </row>
    <row r="374" spans="1:12" ht="15" hidden="1" thickTop="1" thickBot="1" x14ac:dyDescent="0.3">
      <c r="A374" s="171" t="e">
        <f>#REF!</f>
        <v>#REF!</v>
      </c>
      <c r="B374" s="171" t="e">
        <f>#REF!</f>
        <v>#REF!</v>
      </c>
      <c r="C374" s="171" t="e">
        <f>#REF!</f>
        <v>#REF!</v>
      </c>
      <c r="D374" s="171"/>
      <c r="E374" s="216" t="e">
        <f>#REF!</f>
        <v>#REF!</v>
      </c>
      <c r="F374" s="282" t="e">
        <f>#REF!</f>
        <v>#REF!</v>
      </c>
      <c r="G374" s="217" t="e">
        <f>#REF!</f>
        <v>#REF!</v>
      </c>
      <c r="H374" s="217" t="e">
        <f>#REF!</f>
        <v>#REF!</v>
      </c>
      <c r="I374" s="217" t="e">
        <f>#REF!</f>
        <v>#REF!</v>
      </c>
      <c r="J374" s="217" t="e">
        <f>#REF!</f>
        <v>#REF!</v>
      </c>
      <c r="K374" s="217" t="e">
        <f>#REF!</f>
        <v>#REF!</v>
      </c>
      <c r="L374" s="217" t="e">
        <f>#REF!</f>
        <v>#REF!</v>
      </c>
    </row>
    <row r="375" spans="1:12" ht="15" hidden="1" thickTop="1" thickBot="1" x14ac:dyDescent="0.3">
      <c r="A375" s="171" t="e">
        <f>#REF!</f>
        <v>#REF!</v>
      </c>
      <c r="B375" s="171" t="s">
        <v>52</v>
      </c>
      <c r="C375" s="171" t="e">
        <f>#REF!</f>
        <v>#REF!</v>
      </c>
      <c r="D375" s="171"/>
      <c r="E375" s="216" t="e">
        <f>#REF!</f>
        <v>#REF!</v>
      </c>
      <c r="F375" s="282" t="e">
        <f>#REF!</f>
        <v>#REF!</v>
      </c>
      <c r="G375" s="217" t="e">
        <f>#REF!</f>
        <v>#REF!</v>
      </c>
      <c r="H375" s="217" t="e">
        <f>#REF!</f>
        <v>#REF!</v>
      </c>
      <c r="I375" s="217" t="e">
        <f>#REF!</f>
        <v>#REF!</v>
      </c>
      <c r="J375" s="217" t="e">
        <f>#REF!</f>
        <v>#REF!</v>
      </c>
      <c r="K375" s="217" t="e">
        <f>#REF!</f>
        <v>#REF!</v>
      </c>
      <c r="L375" s="217" t="e">
        <f>#REF!</f>
        <v>#REF!</v>
      </c>
    </row>
    <row r="376" spans="1:12" ht="15" thickTop="1" thickBot="1" x14ac:dyDescent="0.3">
      <c r="A376" s="467" t="str">
        <f>'YÜKLENİCİ ARAÇLARI'!A18</f>
        <v>BAŞAK TRAKTÖR</v>
      </c>
      <c r="B376" s="467" t="str">
        <f>'YÜKLENİCİ ARAÇLARI'!B18</f>
        <v>ARİFİYE  1  MRK</v>
      </c>
      <c r="C376" s="467" t="str">
        <f>'YÜKLENİCİ ARAÇLARI'!C18</f>
        <v>SALİH ÖZTAŞ</v>
      </c>
      <c r="D376" s="467"/>
      <c r="E376" s="467" t="str">
        <f>'YÜKLENİCİ ARAÇLARI'!E18</f>
        <v>GRŞ/ÇKŞ</v>
      </c>
      <c r="F376" s="467">
        <f>'YÜKLENİCİ ARAÇLARI'!F18</f>
        <v>18</v>
      </c>
      <c r="G376" s="468">
        <f>'YÜKLENİCİ ARAÇLARI'!G18</f>
        <v>1800</v>
      </c>
      <c r="H376" s="469">
        <f>'YÜKLENİCİ ARAÇLARI'!H18</f>
        <v>32400</v>
      </c>
      <c r="I376" s="469">
        <f>'YÜKLENİCİ ARAÇLARI'!I18</f>
        <v>0</v>
      </c>
      <c r="J376" s="469">
        <f>'YÜKLENİCİ ARAÇLARI'!J18</f>
        <v>32400</v>
      </c>
      <c r="K376" s="469">
        <f>'YÜKLENİCİ ARAÇLARI'!K18</f>
        <v>0</v>
      </c>
      <c r="L376" s="469">
        <f>'YÜKLENİCİ ARAÇLARI'!L18</f>
        <v>32400</v>
      </c>
    </row>
    <row r="377" spans="1:12" ht="16.2" thickTop="1" thickBot="1" x14ac:dyDescent="0.3">
      <c r="H377" s="263">
        <f>SUM(H376:H376)</f>
        <v>32400</v>
      </c>
      <c r="I377" s="263">
        <f>SUM(I376:I376)</f>
        <v>0</v>
      </c>
      <c r="J377" s="263">
        <f>SUM(J376:J376)</f>
        <v>32400</v>
      </c>
      <c r="K377" s="263">
        <f>SUM(K376:K376)</f>
        <v>0</v>
      </c>
      <c r="L377" s="263">
        <f>SUM(L376:L376)</f>
        <v>32400</v>
      </c>
    </row>
    <row r="378" spans="1:12" ht="18.600000000000001" thickTop="1" thickBot="1" x14ac:dyDescent="0.35">
      <c r="A378" s="529" t="s">
        <v>148</v>
      </c>
      <c r="B378" s="529"/>
      <c r="C378" s="529"/>
      <c r="D378" s="181"/>
    </row>
    <row r="379" spans="1:12" ht="15" thickTop="1" thickBot="1" x14ac:dyDescent="0.3">
      <c r="A379" s="467" t="str">
        <f>'YÜKLENİCİ ARAÇLARI'!A317</f>
        <v>EREN OTO</v>
      </c>
      <c r="B379" s="467" t="str">
        <f>'YÜKLENİCİ ARAÇLARI'!B317</f>
        <v>ÇARŞI/GÜNEŞLER/ERENLER</v>
      </c>
      <c r="C379" s="467" t="str">
        <f>'YÜKLENİCİ ARAÇLARI'!C317</f>
        <v>SAMET ERİŞİR</v>
      </c>
      <c r="D379" s="467">
        <f>'YÜKLENİCİ ARAÇLARI'!D317</f>
        <v>0</v>
      </c>
      <c r="E379" s="467" t="str">
        <f>'YÜKLENİCİ ARAÇLARI'!E317</f>
        <v>GRŞ/ÇIK</v>
      </c>
      <c r="F379" s="467">
        <f>'YÜKLENİCİ ARAÇLARI'!F317</f>
        <v>19</v>
      </c>
      <c r="G379" s="468">
        <f>'YÜKLENİCİ ARAÇLARI'!G317</f>
        <v>1800</v>
      </c>
      <c r="H379" s="469">
        <f>'YÜKLENİCİ ARAÇLARI'!H317</f>
        <v>34200</v>
      </c>
      <c r="I379" s="469">
        <f>'YÜKLENİCİ ARAÇLARI'!I317</f>
        <v>6840</v>
      </c>
      <c r="J379" s="469">
        <f>'YÜKLENİCİ ARAÇLARI'!J317</f>
        <v>41040</v>
      </c>
      <c r="K379" s="469">
        <f>'YÜKLENİCİ ARAÇLARI'!K317</f>
        <v>0</v>
      </c>
      <c r="L379" s="469">
        <f>'YÜKLENİCİ ARAÇLARI'!L317</f>
        <v>41040</v>
      </c>
    </row>
    <row r="380" spans="1:12" ht="16.2" thickTop="1" thickBot="1" x14ac:dyDescent="0.3">
      <c r="H380" s="263">
        <f>SUM(H379:H379)</f>
        <v>34200</v>
      </c>
      <c r="I380" s="263">
        <f t="shared" ref="I380:L380" si="56">SUM(I379:I379)</f>
        <v>6840</v>
      </c>
      <c r="J380" s="263">
        <f t="shared" si="56"/>
        <v>41040</v>
      </c>
      <c r="K380" s="263">
        <f t="shared" si="56"/>
        <v>0</v>
      </c>
      <c r="L380" s="263">
        <f t="shared" si="56"/>
        <v>41040</v>
      </c>
    </row>
    <row r="381" spans="1:12" ht="18.600000000000001" thickTop="1" thickBot="1" x14ac:dyDescent="0.35">
      <c r="A381" s="529" t="s">
        <v>26</v>
      </c>
      <c r="B381" s="529"/>
      <c r="C381" s="529"/>
      <c r="D381" s="181"/>
    </row>
    <row r="382" spans="1:12" ht="15" hidden="1" thickTop="1" thickBot="1" x14ac:dyDescent="0.3">
      <c r="A382" s="171" t="s">
        <v>29</v>
      </c>
      <c r="B382" s="171" t="e">
        <f>#REF!</f>
        <v>#REF!</v>
      </c>
      <c r="C382" s="171" t="e">
        <f>#REF!</f>
        <v>#REF!</v>
      </c>
      <c r="D382" s="171"/>
      <c r="E382" s="216" t="e">
        <f>#REF!</f>
        <v>#REF!</v>
      </c>
      <c r="F382" s="282" t="e">
        <f>#REF!</f>
        <v>#REF!</v>
      </c>
      <c r="G382" s="217" t="e">
        <f>#REF!</f>
        <v>#REF!</v>
      </c>
      <c r="H382" s="217" t="e">
        <f>#REF!</f>
        <v>#REF!</v>
      </c>
      <c r="I382" s="217" t="e">
        <f>#REF!</f>
        <v>#REF!</v>
      </c>
      <c r="J382" s="217" t="e">
        <f>#REF!</f>
        <v>#REF!</v>
      </c>
      <c r="K382" s="217" t="e">
        <f>#REF!</f>
        <v>#REF!</v>
      </c>
      <c r="L382" s="217" t="e">
        <f>#REF!</f>
        <v>#REF!</v>
      </c>
    </row>
    <row r="383" spans="1:12" ht="15" thickTop="1" thickBot="1" x14ac:dyDescent="0.3">
      <c r="A383" s="467" t="str">
        <f>'YÜKLENİCİ ARAÇLARI'!A269</f>
        <v>AQUAKRAFT</v>
      </c>
      <c r="B383" s="467" t="str">
        <f>'YÜKLENİCİ ARAÇLARI'!B269</f>
        <v>KORUCUK YAZLIK</v>
      </c>
      <c r="C383" s="467" t="str">
        <f>'YÜKLENİCİ ARAÇLARI'!C269</f>
        <v>SERCAN AVCI</v>
      </c>
      <c r="D383" s="467">
        <f>'YÜKLENİCİ ARAÇLARI'!D269</f>
        <v>0</v>
      </c>
      <c r="E383" s="467" t="str">
        <f>'YÜKLENİCİ ARAÇLARI'!E269</f>
        <v>GRŞ/ÇIK</v>
      </c>
      <c r="F383" s="467">
        <f>'YÜKLENİCİ ARAÇLARI'!F269</f>
        <v>4</v>
      </c>
      <c r="G383" s="468">
        <f>'YÜKLENİCİ ARAÇLARI'!G269</f>
        <v>2000</v>
      </c>
      <c r="H383" s="468">
        <f>'YÜKLENİCİ ARAÇLARI'!H269</f>
        <v>8000</v>
      </c>
      <c r="I383" s="468">
        <f>'YÜKLENİCİ ARAÇLARI'!I269</f>
        <v>1600</v>
      </c>
      <c r="J383" s="468">
        <f>'YÜKLENİCİ ARAÇLARI'!J269</f>
        <v>9600</v>
      </c>
      <c r="K383" s="468">
        <f>'YÜKLENİCİ ARAÇLARI'!K269</f>
        <v>800</v>
      </c>
      <c r="L383" s="468">
        <f>'YÜKLENİCİ ARAÇLARI'!L269</f>
        <v>8800</v>
      </c>
    </row>
    <row r="384" spans="1:12" ht="15" thickTop="1" thickBot="1" x14ac:dyDescent="0.3">
      <c r="A384" s="467" t="str">
        <f>'YÜKLENİCİ ARAÇLARI'!A270</f>
        <v>AQUAKRAFT</v>
      </c>
      <c r="B384" s="467" t="str">
        <f>'YÜKLENİCİ ARAÇLARI'!B270</f>
        <v>KORUCUK YAZLIK</v>
      </c>
      <c r="C384" s="467" t="str">
        <f>'YÜKLENİCİ ARAÇLARI'!C270</f>
        <v>SERCAN AVCI</v>
      </c>
      <c r="D384" s="467">
        <f>'YÜKLENİCİ ARAÇLARI'!D270</f>
        <v>0</v>
      </c>
      <c r="E384" s="467" t="str">
        <f>'YÜKLENİCİ ARAÇLARI'!E270</f>
        <v>TEK</v>
      </c>
      <c r="F384" s="467">
        <f>'YÜKLENİCİ ARAÇLARI'!F270</f>
        <v>76</v>
      </c>
      <c r="G384" s="468">
        <f>'YÜKLENİCİ ARAÇLARI'!G270</f>
        <v>1800</v>
      </c>
      <c r="H384" s="468">
        <f>'YÜKLENİCİ ARAÇLARI'!H270</f>
        <v>136800</v>
      </c>
      <c r="I384" s="468">
        <f>'YÜKLENİCİ ARAÇLARI'!I270</f>
        <v>27360</v>
      </c>
      <c r="J384" s="468">
        <f>'YÜKLENİCİ ARAÇLARI'!J270</f>
        <v>164160</v>
      </c>
      <c r="K384" s="468">
        <f>'YÜKLENİCİ ARAÇLARI'!K270</f>
        <v>13680</v>
      </c>
      <c r="L384" s="468">
        <f>'YÜKLENİCİ ARAÇLARI'!L270</f>
        <v>150480</v>
      </c>
    </row>
    <row r="385" spans="1:13" ht="16.2" thickTop="1" thickBot="1" x14ac:dyDescent="0.3">
      <c r="F385" s="309"/>
      <c r="G385" s="277"/>
      <c r="H385" s="306">
        <f>SUM(H383:H384)</f>
        <v>144800</v>
      </c>
      <c r="I385" s="307">
        <f t="shared" ref="I385:L385" si="57">SUM(I383:I384)</f>
        <v>28960</v>
      </c>
      <c r="J385" s="307">
        <f t="shared" si="57"/>
        <v>173760</v>
      </c>
      <c r="K385" s="307">
        <f t="shared" si="57"/>
        <v>14480</v>
      </c>
      <c r="L385" s="307">
        <f t="shared" si="57"/>
        <v>159280</v>
      </c>
    </row>
    <row r="386" spans="1:13" ht="15.6" thickTop="1" x14ac:dyDescent="0.25">
      <c r="G386" s="274"/>
      <c r="H386" s="275"/>
      <c r="I386" s="275"/>
      <c r="J386" s="275"/>
      <c r="K386" s="275"/>
      <c r="L386" s="275"/>
    </row>
    <row r="387" spans="1:13" ht="18" thickBot="1" x14ac:dyDescent="0.35">
      <c r="A387" s="529" t="s">
        <v>485</v>
      </c>
      <c r="B387" s="529"/>
      <c r="C387" s="529"/>
      <c r="D387" s="181"/>
    </row>
    <row r="388" spans="1:13" ht="15" thickTop="1" thickBot="1" x14ac:dyDescent="0.3">
      <c r="A388" s="474" t="str">
        <f>'YÜKLENİCİ ARAÇLARI'!A22</f>
        <v>BAŞAK TRAKTÖR</v>
      </c>
      <c r="B388" s="474" t="str">
        <f>'YÜKLENİCİ ARAÇLARI'!B22</f>
        <v>ÇATALKÖPRÜ</v>
      </c>
      <c r="C388" s="474" t="str">
        <f>'YÜKLENİCİ ARAÇLARI'!C22</f>
        <v>SERHAT TURAN TUR</v>
      </c>
      <c r="D388" s="474"/>
      <c r="E388" s="474" t="str">
        <f>'YÜKLENİCİ ARAÇLARI'!E22</f>
        <v>GRŞ/ÇKŞ</v>
      </c>
      <c r="F388" s="474">
        <f>'YÜKLENİCİ ARAÇLARI'!F22</f>
        <v>14</v>
      </c>
      <c r="G388" s="475">
        <f>'YÜKLENİCİ ARAÇLARI'!G22</f>
        <v>2600</v>
      </c>
      <c r="H388" s="475">
        <f>'YÜKLENİCİ ARAÇLARI'!H22</f>
        <v>36400</v>
      </c>
      <c r="I388" s="475">
        <f>'YÜKLENİCİ ARAÇLARI'!I22</f>
        <v>7280</v>
      </c>
      <c r="J388" s="475">
        <f>'YÜKLENİCİ ARAÇLARI'!J22</f>
        <v>43680</v>
      </c>
      <c r="K388" s="475">
        <f>'YÜKLENİCİ ARAÇLARI'!K22</f>
        <v>3640</v>
      </c>
      <c r="L388" s="475">
        <f>'YÜKLENİCİ ARAÇLARI'!L22</f>
        <v>40040</v>
      </c>
      <c r="M388" s="173" t="s">
        <v>591</v>
      </c>
    </row>
    <row r="389" spans="1:13" ht="15" hidden="1" thickTop="1" thickBot="1" x14ac:dyDescent="0.3">
      <c r="A389" s="171" t="str">
        <f>'YÜKLENİCİ ARAÇLARI'!A28</f>
        <v>BAŞAK TRAKTÖR</v>
      </c>
      <c r="B389" s="171" t="str">
        <f>'YÜKLENİCİ ARAÇLARI'!B28</f>
        <v>YENİCAMİ/MRK/İŞ BANK</v>
      </c>
      <c r="C389" s="171" t="str">
        <f>'YÜKLENİCİ ARAÇLARI'!C28</f>
        <v>SERHAT TURAN TUR</v>
      </c>
      <c r="D389" s="171"/>
      <c r="E389" s="216" t="str">
        <f>'YÜKLENİCİ ARAÇLARI'!E28</f>
        <v>GRŞ/ÇKŞ</v>
      </c>
      <c r="F389" s="216">
        <f>'YÜKLENİCİ ARAÇLARI'!F28</f>
        <v>0</v>
      </c>
      <c r="G389" s="217">
        <f>'YÜKLENİCİ ARAÇLARI'!G28</f>
        <v>1800</v>
      </c>
      <c r="H389" s="217">
        <f>'YÜKLENİCİ ARAÇLARI'!H28</f>
        <v>0</v>
      </c>
      <c r="I389" s="217">
        <f>'YÜKLENİCİ ARAÇLARI'!I28</f>
        <v>0</v>
      </c>
      <c r="J389" s="217">
        <f>'YÜKLENİCİ ARAÇLARI'!J28</f>
        <v>0</v>
      </c>
      <c r="K389" s="217">
        <f>'YÜKLENİCİ ARAÇLARI'!K28</f>
        <v>0</v>
      </c>
      <c r="L389" s="217">
        <f>'YÜKLENİCİ ARAÇLARI'!L28</f>
        <v>0</v>
      </c>
    </row>
    <row r="390" spans="1:13" ht="15" hidden="1" thickTop="1" thickBot="1" x14ac:dyDescent="0.3">
      <c r="A390" s="171" t="str">
        <f>'YÜKLENİCİ ARAÇLARI'!A43</f>
        <v>BAŞAK TRAKTÖR</v>
      </c>
      <c r="B390" s="171" t="str">
        <f>'YÜKLENİCİ ARAÇLARI'!B43</f>
        <v>YORGALAR KUMKÖY-ALKİD</v>
      </c>
      <c r="C390" s="171" t="str">
        <f>'YÜKLENİCİ ARAÇLARI'!C43</f>
        <v>SERHAT TURAN TUR</v>
      </c>
      <c r="D390" s="171"/>
      <c r="E390" s="216" t="str">
        <f>'YÜKLENİCİ ARAÇLARI'!E43</f>
        <v>GRŞ/ÇKŞ</v>
      </c>
      <c r="F390" s="216">
        <f>'YÜKLENİCİ ARAÇLARI'!F43</f>
        <v>0</v>
      </c>
      <c r="G390" s="217">
        <f>'YÜKLENİCİ ARAÇLARI'!G43</f>
        <v>1800</v>
      </c>
      <c r="H390" s="264">
        <f>'YÜKLENİCİ ARAÇLARI'!H43</f>
        <v>0</v>
      </c>
      <c r="I390" s="264">
        <f>'YÜKLENİCİ ARAÇLARI'!I43</f>
        <v>0</v>
      </c>
      <c r="J390" s="264">
        <f>'YÜKLENİCİ ARAÇLARI'!J43</f>
        <v>0</v>
      </c>
      <c r="K390" s="264">
        <f>'YÜKLENİCİ ARAÇLARI'!K43</f>
        <v>0</v>
      </c>
      <c r="L390" s="264">
        <f>'YÜKLENİCİ ARAÇLARI'!L43</f>
        <v>0</v>
      </c>
    </row>
    <row r="391" spans="1:13" ht="16.2" thickTop="1" thickBot="1" x14ac:dyDescent="0.3">
      <c r="H391" s="263">
        <f>SUM(H388:H390)</f>
        <v>36400</v>
      </c>
      <c r="I391" s="263">
        <f>SUM(I388:I390)</f>
        <v>7280</v>
      </c>
      <c r="J391" s="263">
        <f>SUM(J388:J390)</f>
        <v>43680</v>
      </c>
      <c r="K391" s="263">
        <f>SUM(K388:K390)</f>
        <v>3640</v>
      </c>
      <c r="L391" s="263">
        <f>SUM(L388:L390)</f>
        <v>40040</v>
      </c>
    </row>
    <row r="392" spans="1:13" s="186" customFormat="1" ht="18.600000000000001" thickTop="1" thickBot="1" x14ac:dyDescent="0.35">
      <c r="A392" s="529" t="s">
        <v>580</v>
      </c>
      <c r="B392" s="529"/>
      <c r="C392" s="529"/>
      <c r="D392" s="181"/>
      <c r="E392" s="318"/>
      <c r="F392" s="294"/>
      <c r="G392" s="281"/>
      <c r="H392" s="281"/>
      <c r="I392" s="281"/>
      <c r="J392" s="281"/>
      <c r="K392" s="281"/>
      <c r="L392" s="281"/>
    </row>
    <row r="393" spans="1:13" ht="15" thickTop="1" thickBot="1" x14ac:dyDescent="0.3">
      <c r="A393" s="474" t="str">
        <f>'YÜKLENİCİ ARAÇLARI'!A10</f>
        <v>BAŞAK TRAKTÖR</v>
      </c>
      <c r="B393" s="474" t="str">
        <f>'YÜKLENİCİ ARAÇLARI'!B10</f>
        <v>ŞEKER MAH MUHTARLIK</v>
      </c>
      <c r="C393" s="474" t="str">
        <f>'YÜKLENİCİ ARAÇLARI'!C10</f>
        <v>SERKAN AKKOYUN</v>
      </c>
      <c r="D393" s="474"/>
      <c r="E393" s="474" t="str">
        <f>'YÜKLENİCİ ARAÇLARI'!E10</f>
        <v>GRŞ/ÇKŞ</v>
      </c>
      <c r="F393" s="474">
        <f>'YÜKLENİCİ ARAÇLARI'!F10</f>
        <v>13</v>
      </c>
      <c r="G393" s="475">
        <f>'YÜKLENİCİ ARAÇLARI'!G10</f>
        <v>1800</v>
      </c>
      <c r="H393" s="475">
        <f>'YÜKLENİCİ ARAÇLARI'!H10</f>
        <v>23400</v>
      </c>
      <c r="I393" s="475">
        <f>'YÜKLENİCİ ARAÇLARI'!I10</f>
        <v>4680</v>
      </c>
      <c r="J393" s="475">
        <f>'YÜKLENİCİ ARAÇLARI'!J10</f>
        <v>28080</v>
      </c>
      <c r="K393" s="475">
        <f>'YÜKLENİCİ ARAÇLARI'!K10</f>
        <v>2340</v>
      </c>
      <c r="L393" s="475">
        <f>'YÜKLENİCİ ARAÇLARI'!L10</f>
        <v>25740</v>
      </c>
      <c r="M393" s="173" t="s">
        <v>578</v>
      </c>
    </row>
    <row r="394" spans="1:13" ht="15" hidden="1" thickTop="1" thickBot="1" x14ac:dyDescent="0.3">
      <c r="A394" s="474" t="str">
        <f>'YÜKLENİCİ ARAÇLARI'!A11</f>
        <v>BAŞAK TRAKTÖR</v>
      </c>
      <c r="B394" s="474" t="str">
        <f>'YÜKLENİCİ ARAÇLARI'!B11</f>
        <v>20:30 MESAİ</v>
      </c>
      <c r="C394" s="474" t="str">
        <f>'YÜKLENİCİ ARAÇLARI'!C11</f>
        <v>SERKAN AKKOYUN</v>
      </c>
      <c r="D394" s="474"/>
      <c r="E394" s="474" t="str">
        <f>'YÜKLENİCİ ARAÇLARI'!E11</f>
        <v>MESAİ</v>
      </c>
      <c r="F394" s="474">
        <f>'YÜKLENİCİ ARAÇLARI'!F11</f>
        <v>0</v>
      </c>
      <c r="G394" s="475">
        <f>'YÜKLENİCİ ARAÇLARI'!G11</f>
        <v>0</v>
      </c>
      <c r="H394" s="475">
        <f>'YÜKLENİCİ ARAÇLARI'!H11</f>
        <v>0</v>
      </c>
      <c r="I394" s="475">
        <f>'YÜKLENİCİ ARAÇLARI'!I11</f>
        <v>0</v>
      </c>
      <c r="J394" s="475">
        <f>'YÜKLENİCİ ARAÇLARI'!J11</f>
        <v>0</v>
      </c>
      <c r="K394" s="475">
        <f>'YÜKLENİCİ ARAÇLARI'!K11</f>
        <v>0</v>
      </c>
      <c r="L394" s="475">
        <f>'YÜKLENİCİ ARAÇLARI'!L11</f>
        <v>0</v>
      </c>
    </row>
    <row r="395" spans="1:13" ht="15" thickTop="1" thickBot="1" x14ac:dyDescent="0.3">
      <c r="A395" s="474" t="str">
        <f>'YÜKLENİCİ ARAÇLARI'!A12</f>
        <v>BAŞAK TRAKTÖR</v>
      </c>
      <c r="B395" s="474" t="str">
        <f>'YÜKLENİCİ ARAÇLARI'!B50</f>
        <v>VRD ÇARŞI/1/16 GRŞ/ÇIK</v>
      </c>
      <c r="C395" s="474" t="str">
        <f>'YÜKLENİCİ ARAÇLARI'!C50</f>
        <v>SERKAN AKKOYUN</v>
      </c>
      <c r="D395" s="474">
        <f>'YÜKLENİCİ ARAÇLARI'!D50</f>
        <v>0</v>
      </c>
      <c r="E395" s="474" t="str">
        <f>'YÜKLENİCİ ARAÇLARI'!E50</f>
        <v>VRD</v>
      </c>
      <c r="F395" s="474">
        <f>'YÜKLENİCİ ARAÇLARI'!F50</f>
        <v>1</v>
      </c>
      <c r="G395" s="475">
        <f>'YÜKLENİCİ ARAÇLARI'!G50</f>
        <v>850</v>
      </c>
      <c r="H395" s="475">
        <f>'YÜKLENİCİ ARAÇLARI'!H50</f>
        <v>850</v>
      </c>
      <c r="I395" s="475">
        <f>'YÜKLENİCİ ARAÇLARI'!I50</f>
        <v>170</v>
      </c>
      <c r="J395" s="475">
        <f>'YÜKLENİCİ ARAÇLARI'!J50</f>
        <v>1020</v>
      </c>
      <c r="K395" s="475">
        <f>'YÜKLENİCİ ARAÇLARI'!K50</f>
        <v>85</v>
      </c>
      <c r="L395" s="475">
        <f>'YÜKLENİCİ ARAÇLARI'!L50</f>
        <v>935</v>
      </c>
      <c r="M395" s="173" t="s">
        <v>579</v>
      </c>
    </row>
    <row r="396" spans="1:13" ht="15" hidden="1" thickTop="1" thickBot="1" x14ac:dyDescent="0.3">
      <c r="A396" s="171" t="str">
        <f>'YÜKLENİCİ ARAÇLARI'!A299</f>
        <v>ISILSAN</v>
      </c>
      <c r="B396" s="171" t="str">
        <f>'YÜKLENİCİ ARAÇLARI'!B299</f>
        <v>BOYAHANEADAP /ARİFİYE/MESAİ</v>
      </c>
      <c r="C396" s="171" t="str">
        <f>'YÜKLENİCİ ARAÇLARI'!C299</f>
        <v>SERKAN AKKOYUN</v>
      </c>
      <c r="D396" s="171">
        <f>'YÜKLENİCİ ARAÇLARI'!D299</f>
        <v>0</v>
      </c>
      <c r="E396" s="216" t="str">
        <f>'YÜKLENİCİ ARAÇLARI'!E299</f>
        <v>MESAİ</v>
      </c>
      <c r="F396" s="216">
        <f>'YÜKLENİCİ ARAÇLARI'!F299</f>
        <v>0</v>
      </c>
      <c r="G396" s="217">
        <f>'YÜKLENİCİ ARAÇLARI'!G299</f>
        <v>900</v>
      </c>
      <c r="H396" s="264">
        <f>'YÜKLENİCİ ARAÇLARI'!H299</f>
        <v>0</v>
      </c>
      <c r="I396" s="264">
        <f>'YÜKLENİCİ ARAÇLARI'!I299</f>
        <v>0</v>
      </c>
      <c r="J396" s="264">
        <f>'YÜKLENİCİ ARAÇLARI'!J299</f>
        <v>0</v>
      </c>
      <c r="K396" s="264">
        <f>'YÜKLENİCİ ARAÇLARI'!K299</f>
        <v>0</v>
      </c>
      <c r="L396" s="264">
        <f>'YÜKLENİCİ ARAÇLARI'!L299</f>
        <v>0</v>
      </c>
    </row>
    <row r="397" spans="1:13" ht="16.2" thickTop="1" thickBot="1" x14ac:dyDescent="0.3">
      <c r="H397" s="263">
        <f>SUM(H393:H396)</f>
        <v>24250</v>
      </c>
      <c r="I397" s="263">
        <f t="shared" ref="I397:L397" si="58">SUM(I393:I396)</f>
        <v>4850</v>
      </c>
      <c r="J397" s="263">
        <f t="shared" si="58"/>
        <v>29100</v>
      </c>
      <c r="K397" s="263">
        <f t="shared" si="58"/>
        <v>2425</v>
      </c>
      <c r="L397" s="263">
        <f t="shared" si="58"/>
        <v>26675</v>
      </c>
    </row>
    <row r="398" spans="1:13" ht="18.600000000000001" thickTop="1" thickBot="1" x14ac:dyDescent="0.35">
      <c r="A398" s="529" t="s">
        <v>51</v>
      </c>
      <c r="B398" s="529"/>
      <c r="C398" s="529"/>
      <c r="D398" s="181"/>
    </row>
    <row r="399" spans="1:13" ht="13.2" customHeight="1" thickTop="1" thickBot="1" x14ac:dyDescent="0.3">
      <c r="A399" s="467" t="str">
        <f>'YÜKLENİCİ ARAÇLARI'!A61</f>
        <v>TÜRESAŞ</v>
      </c>
      <c r="B399" s="467" t="str">
        <f>'YÜKLENİCİ ARAÇLARI'!B61</f>
        <v>MEKECE</v>
      </c>
      <c r="C399" s="467" t="str">
        <f>'YÜKLENİCİ ARAÇLARI'!C61</f>
        <v>SERKAN KASAP</v>
      </c>
      <c r="D399" s="467"/>
      <c r="E399" s="467" t="str">
        <f>'YÜKLENİCİ ARAÇLARI'!E61</f>
        <v>GRŞ/ÇKŞ</v>
      </c>
      <c r="F399" s="467">
        <f>'YÜKLENİCİ ARAÇLARI'!F61</f>
        <v>19</v>
      </c>
      <c r="G399" s="468">
        <f>'YÜKLENİCİ ARAÇLARI'!G61</f>
        <v>4750</v>
      </c>
      <c r="H399" s="468">
        <f>'YÜKLENİCİ ARAÇLARI'!H61</f>
        <v>90250</v>
      </c>
      <c r="I399" s="468">
        <f>'YÜKLENİCİ ARAÇLARI'!I61</f>
        <v>18050</v>
      </c>
      <c r="J399" s="468">
        <f>'YÜKLENİCİ ARAÇLARI'!J61</f>
        <v>108300</v>
      </c>
      <c r="K399" s="468">
        <f>'YÜKLENİCİ ARAÇLARI'!K61</f>
        <v>9025</v>
      </c>
      <c r="L399" s="468">
        <f>'YÜKLENİCİ ARAÇLARI'!L61</f>
        <v>99275</v>
      </c>
    </row>
    <row r="400" spans="1:13" ht="15" thickTop="1" thickBot="1" x14ac:dyDescent="0.3">
      <c r="A400" s="467" t="str">
        <f>'YÜKLENİCİ ARAÇLARI'!A62</f>
        <v>TÜRESAŞ</v>
      </c>
      <c r="B400" s="467" t="str">
        <f>'YÜKLENİCİ ARAÇLARI'!B62</f>
        <v>GEYVE</v>
      </c>
      <c r="C400" s="467" t="str">
        <f>'YÜKLENİCİ ARAÇLARI'!C62</f>
        <v>SERKAN KASAP</v>
      </c>
      <c r="D400" s="467"/>
      <c r="E400" s="467" t="str">
        <f>'YÜKLENİCİ ARAÇLARI'!E62</f>
        <v>GRŞ/ÇKŞ</v>
      </c>
      <c r="F400" s="467">
        <f>'YÜKLENİCİ ARAÇLARI'!F62</f>
        <v>19</v>
      </c>
      <c r="G400" s="468">
        <f>'YÜKLENİCİ ARAÇLARI'!G62</f>
        <v>3500</v>
      </c>
      <c r="H400" s="468">
        <f>'YÜKLENİCİ ARAÇLARI'!H62</f>
        <v>66500</v>
      </c>
      <c r="I400" s="468">
        <f>'YÜKLENİCİ ARAÇLARI'!I62</f>
        <v>13300</v>
      </c>
      <c r="J400" s="468">
        <f>'YÜKLENİCİ ARAÇLARI'!J62</f>
        <v>79800</v>
      </c>
      <c r="K400" s="468">
        <f>'YÜKLENİCİ ARAÇLARI'!K62</f>
        <v>6650</v>
      </c>
      <c r="L400" s="468">
        <f>'YÜKLENİCİ ARAÇLARI'!L62</f>
        <v>73150</v>
      </c>
    </row>
    <row r="401" spans="1:12" ht="15.6" thickTop="1" x14ac:dyDescent="0.25">
      <c r="G401" s="274"/>
      <c r="H401" s="283">
        <f>SUM(H399:H400)</f>
        <v>156750</v>
      </c>
      <c r="I401" s="283">
        <f>SUM(I399:I400)</f>
        <v>31350</v>
      </c>
      <c r="J401" s="283">
        <f>SUM(J399:J400)</f>
        <v>188100</v>
      </c>
      <c r="K401" s="283">
        <f>SUM(K399:K400)</f>
        <v>15675</v>
      </c>
      <c r="L401" s="283">
        <f>SUM(L399:L400)</f>
        <v>172425</v>
      </c>
    </row>
    <row r="402" spans="1:12" ht="18" thickBot="1" x14ac:dyDescent="0.35">
      <c r="A402" s="529" t="s">
        <v>54</v>
      </c>
      <c r="B402" s="529"/>
      <c r="C402" s="529"/>
      <c r="D402" s="181"/>
    </row>
    <row r="403" spans="1:12" ht="15" thickTop="1" thickBot="1" x14ac:dyDescent="0.3">
      <c r="A403" s="467" t="str">
        <f>'YÜKLENİCİ ARAÇLARI'!A65</f>
        <v>TÜRESAŞ</v>
      </c>
      <c r="B403" s="467" t="str">
        <f>'YÜKLENİCİ ARAÇLARI'!B65</f>
        <v>SAPANCA</v>
      </c>
      <c r="C403" s="467" t="str">
        <f>'YÜKLENİCİ ARAÇLARI'!C65</f>
        <v>ŞABAN ŞİRİN</v>
      </c>
      <c r="D403" s="467"/>
      <c r="E403" s="467" t="str">
        <f>'YÜKLENİCİ ARAÇLARI'!E65</f>
        <v>GRŞ/ÇKŞ</v>
      </c>
      <c r="F403" s="467">
        <f>'YÜKLENİCİ ARAÇLARI'!F65</f>
        <v>19</v>
      </c>
      <c r="G403" s="468">
        <f>'YÜKLENİCİ ARAÇLARI'!G65</f>
        <v>3250</v>
      </c>
      <c r="H403" s="469">
        <f>'YÜKLENİCİ ARAÇLARI'!H65</f>
        <v>61750</v>
      </c>
      <c r="I403" s="469">
        <f>'YÜKLENİCİ ARAÇLARI'!I65</f>
        <v>12350</v>
      </c>
      <c r="J403" s="469">
        <f>'YÜKLENİCİ ARAÇLARI'!J65</f>
        <v>74100</v>
      </c>
      <c r="K403" s="469">
        <f>'YÜKLENİCİ ARAÇLARI'!K65</f>
        <v>6175</v>
      </c>
      <c r="L403" s="469">
        <f>'YÜKLENİCİ ARAÇLARI'!L65</f>
        <v>67925</v>
      </c>
    </row>
    <row r="404" spans="1:12" ht="16.2" thickTop="1" thickBot="1" x14ac:dyDescent="0.3">
      <c r="H404" s="263">
        <f>SUM(H403)</f>
        <v>61750</v>
      </c>
      <c r="I404" s="263">
        <f t="shared" ref="I404:L404" si="59">SUM(I403:I403)</f>
        <v>12350</v>
      </c>
      <c r="J404" s="263">
        <f t="shared" si="59"/>
        <v>74100</v>
      </c>
      <c r="K404" s="263">
        <f t="shared" si="59"/>
        <v>6175</v>
      </c>
      <c r="L404" s="263">
        <f t="shared" si="59"/>
        <v>67925</v>
      </c>
    </row>
    <row r="405" spans="1:12" ht="18.600000000000001" thickTop="1" thickBot="1" x14ac:dyDescent="0.35">
      <c r="A405" s="529" t="s">
        <v>497</v>
      </c>
      <c r="B405" s="529"/>
      <c r="C405" s="529"/>
      <c r="D405" s="181"/>
    </row>
    <row r="406" spans="1:12" ht="15" thickTop="1" thickBot="1" x14ac:dyDescent="0.3">
      <c r="A406" s="467" t="str">
        <f>'YÜKLENİCİ ARAÇLARI'!A37</f>
        <v>BAŞAK TRAKTÖR</v>
      </c>
      <c r="B406" s="467" t="str">
        <f>'YÜKLENİCİ ARAÇLARI'!B37</f>
        <v>DAĞDİBİ ÇEVRE YOLU</v>
      </c>
      <c r="C406" s="467" t="str">
        <f>'YÜKLENİCİ ARAÇLARI'!C37</f>
        <v>EMİN-ARZU DİNDAROĞLU</v>
      </c>
      <c r="D406" s="171"/>
      <c r="E406" s="467" t="str">
        <f>'YÜKLENİCİ ARAÇLARI'!E37</f>
        <v>GRŞ/ÇKŞ</v>
      </c>
      <c r="F406" s="467">
        <f>'YÜKLENİCİ ARAÇLARI'!F37</f>
        <v>13</v>
      </c>
      <c r="G406" s="468">
        <f>'YÜKLENİCİ ARAÇLARI'!G37</f>
        <v>1800</v>
      </c>
      <c r="H406" s="468">
        <f>'YÜKLENİCİ ARAÇLARI'!H37</f>
        <v>23400</v>
      </c>
      <c r="I406" s="468">
        <f>'YÜKLENİCİ ARAÇLARI'!I37</f>
        <v>4680</v>
      </c>
      <c r="J406" s="468">
        <f>'YÜKLENİCİ ARAÇLARI'!J37</f>
        <v>28080</v>
      </c>
      <c r="K406" s="468">
        <f>'YÜKLENİCİ ARAÇLARI'!K37</f>
        <v>2340</v>
      </c>
      <c r="L406" s="468">
        <f>'YÜKLENİCİ ARAÇLARI'!L37</f>
        <v>25740</v>
      </c>
    </row>
    <row r="407" spans="1:12" ht="15" thickTop="1" thickBot="1" x14ac:dyDescent="0.3">
      <c r="A407" s="467" t="str">
        <f>'YÜKLENİCİ ARAÇLARI'!A307</f>
        <v>B/PLAS</v>
      </c>
      <c r="B407" s="467">
        <f>'YÜKLENİCİ ARAÇLARI'!B313</f>
        <v>0</v>
      </c>
      <c r="C407" s="467">
        <f>'YÜKLENİCİ ARAÇLARI'!C313</f>
        <v>0</v>
      </c>
      <c r="D407" s="171">
        <f>'YÜKLENİCİ ARAÇLARI'!D313</f>
        <v>0</v>
      </c>
      <c r="E407" s="467">
        <f>'YÜKLENİCİ ARAÇLARI'!E313</f>
        <v>0</v>
      </c>
      <c r="F407" s="467">
        <f>'YÜKLENİCİ ARAÇLARI'!F313</f>
        <v>0</v>
      </c>
      <c r="G407" s="467">
        <f>'YÜKLENİCİ ARAÇLARI'!G313</f>
        <v>0</v>
      </c>
      <c r="H407" s="469">
        <f>'YÜKLENİCİ ARAÇLARI'!H313</f>
        <v>0</v>
      </c>
      <c r="I407" s="469">
        <f>'YÜKLENİCİ ARAÇLARI'!I313</f>
        <v>0</v>
      </c>
      <c r="J407" s="469">
        <f>'YÜKLENİCİ ARAÇLARI'!J313</f>
        <v>0</v>
      </c>
      <c r="K407" s="469">
        <f>'YÜKLENİCİ ARAÇLARI'!K313</f>
        <v>0</v>
      </c>
      <c r="L407" s="469">
        <f>'YÜKLENİCİ ARAÇLARI'!L313</f>
        <v>0</v>
      </c>
    </row>
    <row r="408" spans="1:12" ht="16.2" thickTop="1" thickBot="1" x14ac:dyDescent="0.3">
      <c r="G408" s="274"/>
      <c r="H408" s="262">
        <f>SUM(H406:H407)</f>
        <v>23400</v>
      </c>
      <c r="I408" s="262">
        <f t="shared" ref="I408:L408" si="60">SUM(I406:I407)</f>
        <v>4680</v>
      </c>
      <c r="J408" s="262">
        <f t="shared" si="60"/>
        <v>28080</v>
      </c>
      <c r="K408" s="262">
        <f t="shared" si="60"/>
        <v>2340</v>
      </c>
      <c r="L408" s="262">
        <f t="shared" si="60"/>
        <v>25740</v>
      </c>
    </row>
    <row r="409" spans="1:12" ht="15.6" thickTop="1" x14ac:dyDescent="0.25">
      <c r="G409" s="274"/>
      <c r="H409" s="275"/>
      <c r="I409" s="275"/>
      <c r="J409" s="275"/>
      <c r="K409" s="275"/>
      <c r="L409" s="275"/>
    </row>
    <row r="410" spans="1:12" ht="18" thickBot="1" x14ac:dyDescent="0.35">
      <c r="A410" s="529" t="s">
        <v>494</v>
      </c>
      <c r="B410" s="529"/>
      <c r="C410" s="529"/>
      <c r="D410" s="181"/>
    </row>
    <row r="411" spans="1:12" ht="15" thickTop="1" thickBot="1" x14ac:dyDescent="0.3">
      <c r="A411" s="467" t="str">
        <f>'YÜKLENİCİ ARAÇLARI'!A163</f>
        <v>GEDİK KAYNAK</v>
      </c>
      <c r="B411" s="467" t="str">
        <f>'YÜKLENİCİ ARAÇLARI'!B163</f>
        <v>KAYNARCA</v>
      </c>
      <c r="C411" s="467" t="str">
        <f>'YÜKLENİCİ ARAÇLARI'!C163</f>
        <v>FATİH ARI TUNCAY GÖKTAŞ</v>
      </c>
      <c r="D411" s="171">
        <f>'YÜKLENİCİ ARAÇLARI'!D163</f>
        <v>0</v>
      </c>
      <c r="E411" s="467" t="str">
        <f>'YÜKLENİCİ ARAÇLARI'!E163</f>
        <v>VRD</v>
      </c>
      <c r="F411" s="467">
        <f>'YÜKLENİCİ ARAÇLARI'!F163</f>
        <v>42</v>
      </c>
      <c r="G411" s="468">
        <f>'YÜKLENİCİ ARAÇLARI'!G163</f>
        <v>1315</v>
      </c>
      <c r="H411" s="468">
        <f>'YÜKLENİCİ ARAÇLARI'!H163</f>
        <v>55230</v>
      </c>
      <c r="I411" s="468">
        <f>'YÜKLENİCİ ARAÇLARI'!I163</f>
        <v>11046</v>
      </c>
      <c r="J411" s="468">
        <f>'YÜKLENİCİ ARAÇLARI'!J163</f>
        <v>66276</v>
      </c>
      <c r="K411" s="468">
        <f>'YÜKLENİCİ ARAÇLARI'!K163</f>
        <v>5523</v>
      </c>
      <c r="L411" s="468">
        <f>'YÜKLENİCİ ARAÇLARI'!L163</f>
        <v>60753</v>
      </c>
    </row>
    <row r="412" spans="1:12" ht="16.95" customHeight="1" thickTop="1" thickBot="1" x14ac:dyDescent="0.3">
      <c r="A412" s="467" t="str">
        <f>'YÜKLENİCİ ARAÇLARI'!A164</f>
        <v>GEDİK KAYNAK</v>
      </c>
      <c r="B412" s="467" t="str">
        <f>'YÜKLENİCİ ARAÇLARI'!B164</f>
        <v>KAYNARCA</v>
      </c>
      <c r="C412" s="467" t="str">
        <f>'YÜKLENİCİ ARAÇLARI'!C164</f>
        <v>FATİH ARI TUNCAY GÖKTAŞ</v>
      </c>
      <c r="D412" s="171">
        <f>'YÜKLENİCİ ARAÇLARI'!D164</f>
        <v>0</v>
      </c>
      <c r="E412" s="467" t="str">
        <f>'YÜKLENİCİ ARAÇLARI'!E164</f>
        <v>TEK YÖN G/Ç</v>
      </c>
      <c r="F412" s="467">
        <f>'YÜKLENİCİ ARAÇLARI'!F164</f>
        <v>42</v>
      </c>
      <c r="G412" s="468">
        <f>'YÜKLENİCİ ARAÇLARI'!G164</f>
        <v>1900</v>
      </c>
      <c r="H412" s="468">
        <f>'YÜKLENİCİ ARAÇLARI'!H164</f>
        <v>79800</v>
      </c>
      <c r="I412" s="468">
        <f>'YÜKLENİCİ ARAÇLARI'!I164</f>
        <v>15960</v>
      </c>
      <c r="J412" s="468">
        <f>'YÜKLENİCİ ARAÇLARI'!J164</f>
        <v>95760</v>
      </c>
      <c r="K412" s="468">
        <f>'YÜKLENİCİ ARAÇLARI'!K164</f>
        <v>7980</v>
      </c>
      <c r="L412" s="468">
        <f>'YÜKLENİCİ ARAÇLARI'!L164</f>
        <v>87780</v>
      </c>
    </row>
    <row r="413" spans="1:12" ht="16.95" hidden="1" customHeight="1" thickTop="1" thickBot="1" x14ac:dyDescent="0.3">
      <c r="A413" s="171" t="str">
        <f>'YÜKLENİCİ ARAÇLARI'!A194</f>
        <v>GEDİK KAYNAK</v>
      </c>
      <c r="B413" s="171" t="str">
        <f>'YÜKLENİCİ ARAÇLARI'!B194</f>
        <v>KAYNARCA</v>
      </c>
      <c r="C413" s="171" t="str">
        <f>'YÜKLENİCİ ARAÇLARI'!C194</f>
        <v>FATİH ARI TUNCAY GÖKTAŞ</v>
      </c>
      <c r="D413" s="171">
        <f>'YÜKLENİCİ ARAÇLARI'!D194</f>
        <v>0</v>
      </c>
      <c r="E413" s="216" t="str">
        <f>'YÜKLENİCİ ARAÇLARI'!E194</f>
        <v>20:00 MESAİ</v>
      </c>
      <c r="F413" s="216">
        <f>'YÜKLENİCİ ARAÇLARI'!F194</f>
        <v>0</v>
      </c>
      <c r="G413" s="217">
        <f>'YÜKLENİCİ ARAÇLARI'!G194</f>
        <v>2450</v>
      </c>
      <c r="H413" s="217">
        <f>'YÜKLENİCİ ARAÇLARI'!H194</f>
        <v>0</v>
      </c>
      <c r="I413" s="217">
        <f>'YÜKLENİCİ ARAÇLARI'!I194</f>
        <v>0</v>
      </c>
      <c r="J413" s="217">
        <f>'YÜKLENİCİ ARAÇLARI'!J194</f>
        <v>0</v>
      </c>
      <c r="K413" s="217">
        <f>'YÜKLENİCİ ARAÇLARI'!K194</f>
        <v>0</v>
      </c>
      <c r="L413" s="217">
        <f>'YÜKLENİCİ ARAÇLARI'!L194</f>
        <v>0</v>
      </c>
    </row>
    <row r="414" spans="1:12" ht="16.95" hidden="1" customHeight="1" thickTop="1" thickBot="1" x14ac:dyDescent="0.3">
      <c r="A414" s="171" t="str">
        <f>'YÜKLENİCİ ARAÇLARI'!A201</f>
        <v>GEDİK KAYNAK</v>
      </c>
      <c r="B414" s="171" t="str">
        <f>'YÜKLENİCİ ARAÇLARI'!B201</f>
        <v>KAYNARCA</v>
      </c>
      <c r="C414" s="171" t="str">
        <f>'YÜKLENİCİ ARAÇLARI'!C201</f>
        <v>FATİH ARI TUNCAY GÖKTAŞ</v>
      </c>
      <c r="D414" s="171">
        <f>'YÜKLENİCİ ARAÇLARI'!D201</f>
        <v>0</v>
      </c>
      <c r="E414" s="216" t="str">
        <f>'YÜKLENİCİ ARAÇLARI'!E201</f>
        <v>PAZAR</v>
      </c>
      <c r="F414" s="216">
        <f>'YÜKLENİCİ ARAÇLARI'!F201</f>
        <v>0</v>
      </c>
      <c r="G414" s="217">
        <f>'YÜKLENİCİ ARAÇLARI'!G201</f>
        <v>0</v>
      </c>
      <c r="H414" s="264">
        <f>'YÜKLENİCİ ARAÇLARI'!H201</f>
        <v>0</v>
      </c>
      <c r="I414" s="264">
        <f>'YÜKLENİCİ ARAÇLARI'!I201</f>
        <v>0</v>
      </c>
      <c r="J414" s="264">
        <f>'YÜKLENİCİ ARAÇLARI'!J201</f>
        <v>0</v>
      </c>
      <c r="K414" s="264">
        <f>'YÜKLENİCİ ARAÇLARI'!K201</f>
        <v>0</v>
      </c>
      <c r="L414" s="264">
        <f>'YÜKLENİCİ ARAÇLARI'!L201</f>
        <v>0</v>
      </c>
    </row>
    <row r="415" spans="1:12" ht="16.2" thickTop="1" thickBot="1" x14ac:dyDescent="0.3">
      <c r="H415" s="263">
        <f>SUM(H411:H412)</f>
        <v>135030</v>
      </c>
      <c r="I415" s="263">
        <f t="shared" ref="I415:L415" si="61">SUM(I411:I412)</f>
        <v>27006</v>
      </c>
      <c r="J415" s="263">
        <f t="shared" si="61"/>
        <v>162036</v>
      </c>
      <c r="K415" s="263">
        <f t="shared" si="61"/>
        <v>13503</v>
      </c>
      <c r="L415" s="263">
        <f t="shared" si="61"/>
        <v>148533</v>
      </c>
    </row>
    <row r="416" spans="1:12" ht="19.95" customHeight="1" thickTop="1" thickBot="1" x14ac:dyDescent="0.35">
      <c r="A416" s="539" t="s">
        <v>7</v>
      </c>
      <c r="B416" s="539"/>
      <c r="C416" s="539"/>
      <c r="D416" s="188"/>
    </row>
    <row r="417" spans="1:12" ht="14.4" customHeight="1" thickTop="1" thickBot="1" x14ac:dyDescent="0.3">
      <c r="A417" s="467" t="str">
        <f>'YÜKLENİCİ ARAÇLARI'!A2</f>
        <v>BAŞAK TRAKTÖR</v>
      </c>
      <c r="B417" s="467" t="str">
        <f>'YÜKLENİCİ ARAÇLARI'!B2</f>
        <v>PATATES HALİ</v>
      </c>
      <c r="C417" s="467" t="str">
        <f>'YÜKLENİCİ ARAÇLARI'!C2</f>
        <v>UFUK KÖYMEN</v>
      </c>
      <c r="D417" s="467"/>
      <c r="E417" s="467" t="str">
        <f>'YÜKLENİCİ ARAÇLARI'!E2</f>
        <v>GRŞ/ÇKŞ</v>
      </c>
      <c r="F417" s="467">
        <f>'YÜKLENİCİ ARAÇLARI'!F2</f>
        <v>19</v>
      </c>
      <c r="G417" s="468">
        <f>'YÜKLENİCİ ARAÇLARI'!G2</f>
        <v>1800</v>
      </c>
      <c r="H417" s="468">
        <f>'YÜKLENİCİ ARAÇLARI'!H2</f>
        <v>34200</v>
      </c>
      <c r="I417" s="468">
        <f>'YÜKLENİCİ ARAÇLARI'!I2</f>
        <v>6840</v>
      </c>
      <c r="J417" s="468">
        <f>'YÜKLENİCİ ARAÇLARI'!J2</f>
        <v>41040</v>
      </c>
      <c r="K417" s="468">
        <f>'YÜKLENİCİ ARAÇLARI'!K2</f>
        <v>3420</v>
      </c>
      <c r="L417" s="468">
        <f>'YÜKLENİCİ ARAÇLARI'!L2</f>
        <v>37620</v>
      </c>
    </row>
    <row r="418" spans="1:12" ht="15" thickTop="1" thickBot="1" x14ac:dyDescent="0.3">
      <c r="A418" s="467" t="str">
        <f>'YÜKLENİCİ ARAÇLARI'!A3</f>
        <v>BAŞAK TRAKTÖR</v>
      </c>
      <c r="B418" s="467" t="str">
        <f>'YÜKLENİCİ ARAÇLARI'!B3</f>
        <v>ŞEKER MAH MESAİ</v>
      </c>
      <c r="C418" s="467" t="str">
        <f>'YÜKLENİCİ ARAÇLARI'!C3</f>
        <v>UFUK KÖYMEN</v>
      </c>
      <c r="D418" s="467"/>
      <c r="E418" s="467" t="str">
        <f>'YÜKLENİCİ ARAÇLARI'!E3</f>
        <v>MESAİ</v>
      </c>
      <c r="F418" s="467">
        <f>'YÜKLENİCİ ARAÇLARI'!F3</f>
        <v>0</v>
      </c>
      <c r="G418" s="468">
        <f>'YÜKLENİCİ ARAÇLARI'!G3</f>
        <v>0</v>
      </c>
      <c r="H418" s="468">
        <f>'YÜKLENİCİ ARAÇLARI'!H3</f>
        <v>0</v>
      </c>
      <c r="I418" s="468">
        <f>'YÜKLENİCİ ARAÇLARI'!I3</f>
        <v>0</v>
      </c>
      <c r="J418" s="468">
        <f>'YÜKLENİCİ ARAÇLARI'!J3</f>
        <v>0</v>
      </c>
      <c r="K418" s="468">
        <f>'YÜKLENİCİ ARAÇLARI'!K3</f>
        <v>0</v>
      </c>
      <c r="L418" s="468">
        <f>'YÜKLENİCİ ARAÇLARI'!L3</f>
        <v>0</v>
      </c>
    </row>
    <row r="419" spans="1:12" ht="15" thickTop="1" thickBot="1" x14ac:dyDescent="0.3">
      <c r="A419" s="467" t="str">
        <f>'YÜKLENİCİ ARAÇLARI'!A4</f>
        <v>BAŞAK TRAKTÖR</v>
      </c>
      <c r="B419" s="467" t="str">
        <f>'YÜKLENİCİ ARAÇLARI'!B4</f>
        <v>CENAZE İST</v>
      </c>
      <c r="C419" s="467" t="str">
        <f>'YÜKLENİCİ ARAÇLARI'!C4</f>
        <v>UFUK KÖYMEN</v>
      </c>
      <c r="D419" s="467"/>
      <c r="E419" s="467" t="str">
        <f>'YÜKLENİCİ ARAÇLARI'!E4</f>
        <v>CENAZE</v>
      </c>
      <c r="F419" s="467">
        <f>'YÜKLENİCİ ARAÇLARI'!F4</f>
        <v>0</v>
      </c>
      <c r="G419" s="468">
        <f>'YÜKLENİCİ ARAÇLARI'!G4</f>
        <v>6500</v>
      </c>
      <c r="H419" s="468">
        <f>'YÜKLENİCİ ARAÇLARI'!H4</f>
        <v>0</v>
      </c>
      <c r="I419" s="468">
        <f>'YÜKLENİCİ ARAÇLARI'!I4</f>
        <v>0</v>
      </c>
      <c r="J419" s="468">
        <f>'YÜKLENİCİ ARAÇLARI'!J4</f>
        <v>0</v>
      </c>
      <c r="K419" s="468">
        <f>'YÜKLENİCİ ARAÇLARI'!K4</f>
        <v>0</v>
      </c>
      <c r="L419" s="468">
        <f>'YÜKLENİCİ ARAÇLARI'!L4</f>
        <v>0</v>
      </c>
    </row>
    <row r="420" spans="1:12" ht="15" thickTop="1" thickBot="1" x14ac:dyDescent="0.3">
      <c r="A420" s="467" t="str">
        <f>'YÜKLENİCİ ARAÇLARI'!A57</f>
        <v>BAŞAK TRAKTÖR</v>
      </c>
      <c r="B420" s="467" t="str">
        <f>'YÜKLENİCİ ARAÇLARI'!B57</f>
        <v>ÇÖKLER-BUDKLR-GÜNŞLR</v>
      </c>
      <c r="C420" s="467" t="str">
        <f>'YÜKLENİCİ ARAÇLARI'!C57</f>
        <v>UFUK KÖYMEN</v>
      </c>
      <c r="D420" s="467"/>
      <c r="E420" s="467" t="str">
        <f>'YÜKLENİCİ ARAÇLARI'!E57</f>
        <v>TEK</v>
      </c>
      <c r="F420" s="467">
        <f>'YÜKLENİCİ ARAÇLARI'!F57</f>
        <v>0</v>
      </c>
      <c r="G420" s="468">
        <f>'YÜKLENİCİ ARAÇLARI'!G57</f>
        <v>1500</v>
      </c>
      <c r="H420" s="468">
        <f>'YÜKLENİCİ ARAÇLARI'!H57</f>
        <v>0</v>
      </c>
      <c r="I420" s="468">
        <f>'YÜKLENİCİ ARAÇLARI'!I57</f>
        <v>0</v>
      </c>
      <c r="J420" s="468">
        <f>'YÜKLENİCİ ARAÇLARI'!J57</f>
        <v>0</v>
      </c>
      <c r="K420" s="468">
        <f>'YÜKLENİCİ ARAÇLARI'!K57</f>
        <v>0</v>
      </c>
      <c r="L420" s="468">
        <f>'YÜKLENİCİ ARAÇLARI'!L57</f>
        <v>0</v>
      </c>
    </row>
    <row r="421" spans="1:12" ht="15" thickTop="1" thickBot="1" x14ac:dyDescent="0.3">
      <c r="A421" s="467" t="str">
        <f>'YÜKLENİCİ ARAÇLARI'!A79</f>
        <v>ALYAN GIDA</v>
      </c>
      <c r="B421" s="467" t="str">
        <f>'YÜKLENİCİ ARAÇLARI'!B79</f>
        <v>ADAPAZARI 2</v>
      </c>
      <c r="C421" s="467" t="str">
        <f>'YÜKLENİCİ ARAÇLARI'!C79</f>
        <v>UFUK KÖYMEN</v>
      </c>
      <c r="D421" s="467"/>
      <c r="E421" s="467" t="str">
        <f>'YÜKLENİCİ ARAÇLARI'!E79</f>
        <v>ÇİFT</v>
      </c>
      <c r="F421" s="467">
        <f>'YÜKLENİCİ ARAÇLARI'!F79</f>
        <v>27</v>
      </c>
      <c r="G421" s="468">
        <f>'YÜKLENİCİ ARAÇLARI'!G79</f>
        <v>1700</v>
      </c>
      <c r="H421" s="468">
        <f>'YÜKLENİCİ ARAÇLARI'!H79</f>
        <v>45900</v>
      </c>
      <c r="I421" s="468">
        <f>'YÜKLENİCİ ARAÇLARI'!I79</f>
        <v>9180</v>
      </c>
      <c r="J421" s="468">
        <f>'YÜKLENİCİ ARAÇLARI'!J79</f>
        <v>55080</v>
      </c>
      <c r="K421" s="468">
        <f>'YÜKLENİCİ ARAÇLARI'!K79</f>
        <v>4590</v>
      </c>
      <c r="L421" s="468">
        <f>'YÜKLENİCİ ARAÇLARI'!L79</f>
        <v>50490</v>
      </c>
    </row>
    <row r="422" spans="1:12" ht="15" thickTop="1" thickBot="1" x14ac:dyDescent="0.3">
      <c r="A422" s="467" t="str">
        <f>'YÜKLENİCİ ARAÇLARI'!A80</f>
        <v>ALYAN GIDA</v>
      </c>
      <c r="B422" s="467" t="str">
        <f>'YÜKLENİCİ ARAÇLARI'!B80</f>
        <v>ADAPAZARI 2</v>
      </c>
      <c r="C422" s="467" t="str">
        <f>'YÜKLENİCİ ARAÇLARI'!C80</f>
        <v>UFUK KÖYMEN</v>
      </c>
      <c r="D422" s="467"/>
      <c r="E422" s="467" t="str">
        <f>'YÜKLENİCİ ARAÇLARI'!E80</f>
        <v>TEK</v>
      </c>
      <c r="F422" s="467">
        <f>'YÜKLENİCİ ARAÇLARI'!F80</f>
        <v>29</v>
      </c>
      <c r="G422" s="468">
        <f>'YÜKLENİCİ ARAÇLARI'!G80</f>
        <v>1400</v>
      </c>
      <c r="H422" s="468">
        <f>'YÜKLENİCİ ARAÇLARI'!H80</f>
        <v>40600</v>
      </c>
      <c r="I422" s="468">
        <f>'YÜKLENİCİ ARAÇLARI'!I80</f>
        <v>8120</v>
      </c>
      <c r="J422" s="468">
        <f>'YÜKLENİCİ ARAÇLARI'!J80</f>
        <v>48720</v>
      </c>
      <c r="K422" s="468">
        <f>'YÜKLENİCİ ARAÇLARI'!K80</f>
        <v>4060</v>
      </c>
      <c r="L422" s="468">
        <f>'YÜKLENİCİ ARAÇLARI'!L80</f>
        <v>44660</v>
      </c>
    </row>
    <row r="423" spans="1:12" ht="15" thickTop="1" thickBot="1" x14ac:dyDescent="0.3">
      <c r="A423" s="467" t="str">
        <f>'YÜKLENİCİ ARAÇLARI'!A81</f>
        <v>ALYAN GIDA</v>
      </c>
      <c r="B423" s="467" t="str">
        <f>'YÜKLENİCİ ARAÇLARI'!B81</f>
        <v xml:space="preserve">560 YERİNE GECE </v>
      </c>
      <c r="C423" s="467" t="str">
        <f>'YÜKLENİCİ ARAÇLARI'!C81</f>
        <v>UFUK KÖYMEN</v>
      </c>
      <c r="D423" s="467"/>
      <c r="E423" s="467" t="str">
        <f>'YÜKLENİCİ ARAÇLARI'!E81</f>
        <v>ÇİFT</v>
      </c>
      <c r="F423" s="467">
        <f>'YÜKLENİCİ ARAÇLARI'!F81</f>
        <v>0</v>
      </c>
      <c r="G423" s="468">
        <f>'YÜKLENİCİ ARAÇLARI'!G81</f>
        <v>1700</v>
      </c>
      <c r="H423" s="468">
        <f>'YÜKLENİCİ ARAÇLARI'!H81</f>
        <v>0</v>
      </c>
      <c r="I423" s="468">
        <f>'YÜKLENİCİ ARAÇLARI'!I81</f>
        <v>0</v>
      </c>
      <c r="J423" s="468">
        <f>'YÜKLENİCİ ARAÇLARI'!J81</f>
        <v>0</v>
      </c>
      <c r="K423" s="468">
        <f>'YÜKLENİCİ ARAÇLARI'!K81</f>
        <v>0</v>
      </c>
      <c r="L423" s="468">
        <f>'YÜKLENİCİ ARAÇLARI'!L81</f>
        <v>0</v>
      </c>
    </row>
    <row r="424" spans="1:12" ht="15" thickTop="1" thickBot="1" x14ac:dyDescent="0.3">
      <c r="A424" s="467" t="str">
        <f>'YÜKLENİCİ ARAÇLARI'!A105</f>
        <v>GEDİK DÖKÜM</v>
      </c>
      <c r="B424" s="467" t="str">
        <f>'YÜKLENİCİ ARAÇLARI'!B105</f>
        <v>ADAPAZARI1//SERDİVAN</v>
      </c>
      <c r="C424" s="467" t="str">
        <f>'YÜKLENİCİ ARAÇLARI'!C105</f>
        <v>UFUK KÖYMEN</v>
      </c>
      <c r="D424" s="467" t="str">
        <f>'YÜKLENİCİ ARAÇLARI'!D105</f>
        <v>54 S 0813</v>
      </c>
      <c r="E424" s="467" t="str">
        <f>'YÜKLENİCİ ARAÇLARI'!E105</f>
        <v>GRŞ/ÇKŞ</v>
      </c>
      <c r="F424" s="467">
        <f>'YÜKLENİCİ ARAÇLARI'!F105</f>
        <v>18</v>
      </c>
      <c r="G424" s="468">
        <f>'YÜKLENİCİ ARAÇLARI'!G105</f>
        <v>2900</v>
      </c>
      <c r="H424" s="468">
        <f>'YÜKLENİCİ ARAÇLARI'!H105</f>
        <v>52200</v>
      </c>
      <c r="I424" s="468">
        <f>'YÜKLENİCİ ARAÇLARI'!I105</f>
        <v>10440</v>
      </c>
      <c r="J424" s="468">
        <f>'YÜKLENİCİ ARAÇLARI'!J105</f>
        <v>62640</v>
      </c>
      <c r="K424" s="468">
        <f>'YÜKLENİCİ ARAÇLARI'!K105</f>
        <v>5220</v>
      </c>
      <c r="L424" s="468">
        <f>'YÜKLENİCİ ARAÇLARI'!L105</f>
        <v>57420</v>
      </c>
    </row>
    <row r="425" spans="1:12" ht="15" thickTop="1" thickBot="1" x14ac:dyDescent="0.3">
      <c r="A425" s="467" t="str">
        <f>'YÜKLENİCİ ARAÇLARI'!A106</f>
        <v>GEDİK DÖKÜM</v>
      </c>
      <c r="B425" s="467" t="str">
        <f>'YÜKLENİCİ ARAÇLARI'!B106</f>
        <v>ADAPAZARI1//SERDİVAN</v>
      </c>
      <c r="C425" s="467" t="str">
        <f>'YÜKLENİCİ ARAÇLARI'!C106</f>
        <v>UFUK KÖYMEN</v>
      </c>
      <c r="D425" s="467" t="str">
        <f>'YÜKLENİCİ ARAÇLARI'!D106</f>
        <v>54 S 0813</v>
      </c>
      <c r="E425" s="467" t="str">
        <f>'YÜKLENİCİ ARAÇLARI'!E106</f>
        <v>TEK ÇIKIŞ</v>
      </c>
      <c r="F425" s="467">
        <f>'YÜKLENİCİ ARAÇLARI'!F106</f>
        <v>14</v>
      </c>
      <c r="G425" s="468">
        <f>'YÜKLENİCİ ARAÇLARI'!G106</f>
        <v>1750</v>
      </c>
      <c r="H425" s="468">
        <f>'YÜKLENİCİ ARAÇLARI'!H106</f>
        <v>24500</v>
      </c>
      <c r="I425" s="468">
        <f>'YÜKLENİCİ ARAÇLARI'!I106</f>
        <v>4900</v>
      </c>
      <c r="J425" s="468">
        <f>'YÜKLENİCİ ARAÇLARI'!J106</f>
        <v>29400</v>
      </c>
      <c r="K425" s="468">
        <f>'YÜKLENİCİ ARAÇLARI'!K106</f>
        <v>2450</v>
      </c>
      <c r="L425" s="468">
        <f>'YÜKLENİCİ ARAÇLARI'!L106</f>
        <v>26950</v>
      </c>
    </row>
    <row r="426" spans="1:12" ht="15" thickTop="1" thickBot="1" x14ac:dyDescent="0.3">
      <c r="A426" s="467" t="str">
        <f>'YÜKLENİCİ ARAÇLARI'!A107</f>
        <v>GEDİK DÖKÜM</v>
      </c>
      <c r="B426" s="467" t="str">
        <f>'YÜKLENİCİ ARAÇLARI'!B107</f>
        <v>ADAPAZARI1//SERDİVAN</v>
      </c>
      <c r="C426" s="467" t="str">
        <f>'YÜKLENİCİ ARAÇLARI'!C107</f>
        <v>UFUK KÖYMEN</v>
      </c>
      <c r="D426" s="467" t="str">
        <f>'YÜKLENİCİ ARAÇLARI'!D107</f>
        <v>54 S 0813</v>
      </c>
      <c r="E426" s="467" t="str">
        <f>'YÜKLENİCİ ARAÇLARI'!E107</f>
        <v>MESAİ/</v>
      </c>
      <c r="F426" s="467">
        <f>'YÜKLENİCİ ARAÇLARI'!F107</f>
        <v>14</v>
      </c>
      <c r="G426" s="468">
        <f>'YÜKLENİCİ ARAÇLARI'!G107</f>
        <v>1750</v>
      </c>
      <c r="H426" s="468">
        <f>'YÜKLENİCİ ARAÇLARI'!H107</f>
        <v>24500</v>
      </c>
      <c r="I426" s="468">
        <f>'YÜKLENİCİ ARAÇLARI'!I107</f>
        <v>4900</v>
      </c>
      <c r="J426" s="468">
        <f>'YÜKLENİCİ ARAÇLARI'!J107</f>
        <v>29400</v>
      </c>
      <c r="K426" s="468">
        <f>'YÜKLENİCİ ARAÇLARI'!K107</f>
        <v>2450</v>
      </c>
      <c r="L426" s="468">
        <f>'YÜKLENİCİ ARAÇLARI'!L107</f>
        <v>26950</v>
      </c>
    </row>
    <row r="427" spans="1:12" ht="15" thickTop="1" thickBot="1" x14ac:dyDescent="0.3">
      <c r="A427" s="467" t="str">
        <f>'YÜKLENİCİ ARAÇLARI'!A108</f>
        <v>GEDİK DÖKÜM</v>
      </c>
      <c r="B427" s="467" t="str">
        <f>'YÜKLENİCİ ARAÇLARI'!B108</f>
        <v>ADAPAZARI1//SERDİVAN</v>
      </c>
      <c r="C427" s="467" t="str">
        <f>'YÜKLENİCİ ARAÇLARI'!C108</f>
        <v>UFUK KÖYMEN</v>
      </c>
      <c r="D427" s="467"/>
      <c r="E427" s="467" t="str">
        <f>'YÜKLENİCİ ARAÇLARI'!E108</f>
        <v>VRD</v>
      </c>
      <c r="F427" s="467">
        <f>'YÜKLENİCİ ARAÇLARI'!F108</f>
        <v>11</v>
      </c>
      <c r="G427" s="468">
        <f>'YÜKLENİCİ ARAÇLARI'!G108</f>
        <v>1250</v>
      </c>
      <c r="H427" s="468">
        <f>'YÜKLENİCİ ARAÇLARI'!H108</f>
        <v>13750</v>
      </c>
      <c r="I427" s="468">
        <f>'YÜKLENİCİ ARAÇLARI'!I108</f>
        <v>2750</v>
      </c>
      <c r="J427" s="468">
        <f>'YÜKLENİCİ ARAÇLARI'!J108</f>
        <v>16500</v>
      </c>
      <c r="K427" s="468">
        <f>'YÜKLENİCİ ARAÇLARI'!K108</f>
        <v>1375</v>
      </c>
      <c r="L427" s="468">
        <f>'YÜKLENİCİ ARAÇLARI'!L108</f>
        <v>15125</v>
      </c>
    </row>
    <row r="428" spans="1:12" ht="15" thickTop="1" thickBot="1" x14ac:dyDescent="0.3">
      <c r="A428" s="467" t="str">
        <f>'YÜKLENİCİ ARAÇLARI'!A109</f>
        <v>GEDİK DÖKÜM</v>
      </c>
      <c r="B428" s="467" t="str">
        <f>'YÜKLENİCİ ARAÇLARI'!B109</f>
        <v>ADAPAZARI//GÜNEŞLER</v>
      </c>
      <c r="C428" s="467" t="str">
        <f>'YÜKLENİCİ ARAÇLARI'!C109</f>
        <v>UFUK KÖYMEN</v>
      </c>
      <c r="D428" s="467"/>
      <c r="E428" s="467" t="str">
        <f>'YÜKLENİCİ ARAÇLARI'!E109</f>
        <v>VRD</v>
      </c>
      <c r="F428" s="467">
        <f>'YÜKLENİCİ ARAÇLARI'!F109</f>
        <v>0</v>
      </c>
      <c r="G428" s="468">
        <f>'YÜKLENİCİ ARAÇLARI'!G109</f>
        <v>1750</v>
      </c>
      <c r="H428" s="468">
        <f>'YÜKLENİCİ ARAÇLARI'!H109</f>
        <v>0</v>
      </c>
      <c r="I428" s="468">
        <f>'YÜKLENİCİ ARAÇLARI'!I109</f>
        <v>0</v>
      </c>
      <c r="J428" s="468">
        <f>'YÜKLENİCİ ARAÇLARI'!J109</f>
        <v>0</v>
      </c>
      <c r="K428" s="468">
        <f>'YÜKLENİCİ ARAÇLARI'!K109</f>
        <v>0</v>
      </c>
      <c r="L428" s="468">
        <f>'YÜKLENİCİ ARAÇLARI'!L109</f>
        <v>0</v>
      </c>
    </row>
    <row r="429" spans="1:12" ht="15" thickTop="1" thickBot="1" x14ac:dyDescent="0.3">
      <c r="A429" s="467" t="str">
        <f>'YÜKLENİCİ ARAÇLARI'!A110</f>
        <v>GEDİK DÖKÜM</v>
      </c>
      <c r="B429" s="467" t="str">
        <f>'YÜKLENİCİ ARAÇLARI'!B110</f>
        <v>ADAPAZARI//GÜNEŞLER</v>
      </c>
      <c r="C429" s="467" t="str">
        <f>'YÜKLENİCİ ARAÇLARI'!C110</f>
        <v>UFUK KÖYMEN</v>
      </c>
      <c r="D429" s="467">
        <f>'YÜKLENİCİ ARAÇLARI'!D110</f>
        <v>0</v>
      </c>
      <c r="E429" s="467" t="str">
        <f>'YÜKLENİCİ ARAÇLARI'!E110</f>
        <v>MESAİ</v>
      </c>
      <c r="F429" s="467">
        <f>'YÜKLENİCİ ARAÇLARI'!F110</f>
        <v>0</v>
      </c>
      <c r="G429" s="468">
        <f>'YÜKLENİCİ ARAÇLARI'!G110</f>
        <v>1750</v>
      </c>
      <c r="H429" s="468">
        <f>'YÜKLENİCİ ARAÇLARI'!H110</f>
        <v>0</v>
      </c>
      <c r="I429" s="468">
        <f>'YÜKLENİCİ ARAÇLARI'!I110</f>
        <v>0</v>
      </c>
      <c r="J429" s="468">
        <f>'YÜKLENİCİ ARAÇLARI'!J110</f>
        <v>0</v>
      </c>
      <c r="K429" s="468">
        <f>'YÜKLENİCİ ARAÇLARI'!K110</f>
        <v>0</v>
      </c>
      <c r="L429" s="468">
        <f>'YÜKLENİCİ ARAÇLARI'!L110</f>
        <v>0</v>
      </c>
    </row>
    <row r="430" spans="1:12" ht="15" thickTop="1" thickBot="1" x14ac:dyDescent="0.3">
      <c r="A430" s="467" t="str">
        <f>'YÜKLENİCİ ARAÇLARI'!A111</f>
        <v>GEDİK DÖKÜM</v>
      </c>
      <c r="B430" s="467" t="str">
        <f>'YÜKLENİCİ ARAÇLARI'!B111</f>
        <v>ADAPAZARI//GÜNEŞLER</v>
      </c>
      <c r="C430" s="467" t="str">
        <f>'YÜKLENİCİ ARAÇLARI'!C111</f>
        <v>UFUK KÖYMEN</v>
      </c>
      <c r="D430" s="467">
        <f>'YÜKLENİCİ ARAÇLARI'!D111</f>
        <v>0</v>
      </c>
      <c r="E430" s="467" t="str">
        <f>'YÜKLENİCİ ARAÇLARI'!E111</f>
        <v>GRŞ/ÇKŞ</v>
      </c>
      <c r="F430" s="467">
        <f>'YÜKLENİCİ ARAÇLARI'!F111</f>
        <v>18</v>
      </c>
      <c r="G430" s="468">
        <f>'YÜKLENİCİ ARAÇLARI'!G111</f>
        <v>2900</v>
      </c>
      <c r="H430" s="468">
        <f>'YÜKLENİCİ ARAÇLARI'!H111</f>
        <v>52200</v>
      </c>
      <c r="I430" s="468">
        <f>'YÜKLENİCİ ARAÇLARI'!I111</f>
        <v>10440</v>
      </c>
      <c r="J430" s="468">
        <f>'YÜKLENİCİ ARAÇLARI'!J111</f>
        <v>62640</v>
      </c>
      <c r="K430" s="468">
        <f>'YÜKLENİCİ ARAÇLARI'!K111</f>
        <v>5220</v>
      </c>
      <c r="L430" s="468">
        <f>'YÜKLENİCİ ARAÇLARI'!L111</f>
        <v>57420</v>
      </c>
    </row>
    <row r="431" spans="1:12" ht="15" thickTop="1" thickBot="1" x14ac:dyDescent="0.3">
      <c r="A431" s="467" t="str">
        <f>'YÜKLENİCİ ARAÇLARI'!A170</f>
        <v>GEDİK KAYNAK</v>
      </c>
      <c r="B431" s="467" t="str">
        <f>'YÜKLENİCİ ARAÇLARI'!B170</f>
        <v>ADAPAZARI KUYU DİBİ K.TERM</v>
      </c>
      <c r="C431" s="467" t="str">
        <f>'YÜKLENİCİ ARAÇLARI'!C170</f>
        <v>UFUK KÖYMEN</v>
      </c>
      <c r="D431" s="467" t="str">
        <f>'YÜKLENİCİ ARAÇLARI'!D170</f>
        <v>54 S 2179</v>
      </c>
      <c r="E431" s="467" t="str">
        <f>'YÜKLENİCİ ARAÇLARI'!E170</f>
        <v>TEK</v>
      </c>
      <c r="F431" s="467">
        <f>'YÜKLENİCİ ARAÇLARI'!F170</f>
        <v>0</v>
      </c>
      <c r="G431" s="468">
        <f>'YÜKLENİCİ ARAÇLARI'!G170</f>
        <v>2800</v>
      </c>
      <c r="H431" s="468">
        <f>'YÜKLENİCİ ARAÇLARI'!H170</f>
        <v>0</v>
      </c>
      <c r="I431" s="468">
        <f>'YÜKLENİCİ ARAÇLARI'!I170</f>
        <v>0</v>
      </c>
      <c r="J431" s="468">
        <f>'YÜKLENİCİ ARAÇLARI'!J170</f>
        <v>0</v>
      </c>
      <c r="K431" s="468">
        <f>'YÜKLENİCİ ARAÇLARI'!K170</f>
        <v>0</v>
      </c>
      <c r="L431" s="468">
        <f>'YÜKLENİCİ ARAÇLARI'!L170</f>
        <v>0</v>
      </c>
    </row>
    <row r="432" spans="1:12" ht="15" thickTop="1" thickBot="1" x14ac:dyDescent="0.3">
      <c r="A432" s="467" t="str">
        <f>'YÜKLENİCİ ARAÇLARI'!A267</f>
        <v>AQUAKRAFT</v>
      </c>
      <c r="B432" s="467" t="str">
        <f>'YÜKLENİCİ ARAÇLARI'!B267</f>
        <v>AKYAZI</v>
      </c>
      <c r="C432" s="467" t="str">
        <f>'YÜKLENİCİ ARAÇLARI'!C267</f>
        <v>UFUK KÖYMEN</v>
      </c>
      <c r="D432" s="467">
        <f>'YÜKLENİCİ ARAÇLARI'!D267</f>
        <v>0</v>
      </c>
      <c r="E432" s="467" t="str">
        <f>'YÜKLENİCİ ARAÇLARI'!E267</f>
        <v>GRŞ/ÇIK</v>
      </c>
      <c r="F432" s="467">
        <f>'YÜKLENİCİ ARAÇLARI'!F267</f>
        <v>0</v>
      </c>
      <c r="G432" s="468">
        <f>'YÜKLENİCİ ARAÇLARI'!G267</f>
        <v>2750</v>
      </c>
      <c r="H432" s="468">
        <f>'YÜKLENİCİ ARAÇLARI'!H267</f>
        <v>0</v>
      </c>
      <c r="I432" s="468">
        <f>'YÜKLENİCİ ARAÇLARI'!I267</f>
        <v>0</v>
      </c>
      <c r="J432" s="468">
        <f>'YÜKLENİCİ ARAÇLARI'!J267</f>
        <v>0</v>
      </c>
      <c r="K432" s="468">
        <f>'YÜKLENİCİ ARAÇLARI'!K267</f>
        <v>0</v>
      </c>
      <c r="L432" s="468">
        <f>'YÜKLENİCİ ARAÇLARI'!L267</f>
        <v>0</v>
      </c>
    </row>
    <row r="433" spans="1:12" ht="15" thickTop="1" thickBot="1" x14ac:dyDescent="0.3">
      <c r="A433" s="467" t="str">
        <f>'YÜKLENİCİ ARAÇLARI'!A268</f>
        <v>AQUAKRAFT</v>
      </c>
      <c r="B433" s="467" t="str">
        <f>'YÜKLENİCİ ARAÇLARI'!B268</f>
        <v>AKYAZI</v>
      </c>
      <c r="C433" s="467" t="str">
        <f>'YÜKLENİCİ ARAÇLARI'!C268</f>
        <v>UFUK KÖYMEN</v>
      </c>
      <c r="D433" s="467">
        <f>'YÜKLENİCİ ARAÇLARI'!D268</f>
        <v>0</v>
      </c>
      <c r="E433" s="467" t="str">
        <f>'YÜKLENİCİ ARAÇLARI'!E268</f>
        <v>TEK</v>
      </c>
      <c r="F433" s="467">
        <f>'YÜKLENİCİ ARAÇLARI'!F268</f>
        <v>57</v>
      </c>
      <c r="G433" s="468">
        <f>'YÜKLENİCİ ARAÇLARI'!G268</f>
        <v>2300</v>
      </c>
      <c r="H433" s="468">
        <f>'YÜKLENİCİ ARAÇLARI'!H268</f>
        <v>131100</v>
      </c>
      <c r="I433" s="468">
        <f>'YÜKLENİCİ ARAÇLARI'!I268</f>
        <v>26220</v>
      </c>
      <c r="J433" s="468">
        <f>'YÜKLENİCİ ARAÇLARI'!J268</f>
        <v>157320</v>
      </c>
      <c r="K433" s="468">
        <f>'YÜKLENİCİ ARAÇLARI'!K268</f>
        <v>13110</v>
      </c>
      <c r="L433" s="468">
        <f>'YÜKLENİCİ ARAÇLARI'!L268</f>
        <v>144210</v>
      </c>
    </row>
    <row r="434" spans="1:12" ht="15" thickTop="1" thickBot="1" x14ac:dyDescent="0.3">
      <c r="A434" s="467" t="str">
        <f>'YÜKLENİCİ ARAÇLARI'!A269</f>
        <v>AQUAKRAFT</v>
      </c>
      <c r="B434" s="467" t="str">
        <f>'YÜKLENİCİ ARAÇLARI'!B277</f>
        <v>MALTEPE</v>
      </c>
      <c r="C434" s="467" t="str">
        <f>'YÜKLENİCİ ARAÇLARI'!C277</f>
        <v>UFUK KÖYMEN</v>
      </c>
      <c r="D434" s="467"/>
      <c r="E434" s="467" t="str">
        <f>'YÜKLENİCİ ARAÇLARI'!E277</f>
        <v>TEK</v>
      </c>
      <c r="F434" s="467">
        <f>'YÜKLENİCİ ARAÇLARI'!F277</f>
        <v>44</v>
      </c>
      <c r="G434" s="468">
        <f>'YÜKLENİCİ ARAÇLARI'!G277</f>
        <v>1500</v>
      </c>
      <c r="H434" s="468">
        <f>'YÜKLENİCİ ARAÇLARI'!H277</f>
        <v>66000</v>
      </c>
      <c r="I434" s="468">
        <f>'YÜKLENİCİ ARAÇLARI'!I277</f>
        <v>13200</v>
      </c>
      <c r="J434" s="468">
        <f>'YÜKLENİCİ ARAÇLARI'!J277</f>
        <v>79200</v>
      </c>
      <c r="K434" s="468">
        <f>'YÜKLENİCİ ARAÇLARI'!K277</f>
        <v>6600</v>
      </c>
      <c r="L434" s="468">
        <f>'YÜKLENİCİ ARAÇLARI'!L277</f>
        <v>72600</v>
      </c>
    </row>
    <row r="435" spans="1:12" ht="15" thickTop="1" thickBot="1" x14ac:dyDescent="0.3">
      <c r="A435" s="171" t="str">
        <f>'YÜKLENİCİ ARAÇLARI'!A278</f>
        <v>AQUAKRAFT</v>
      </c>
      <c r="B435" s="171" t="str">
        <f>'YÜKLENİCİ ARAÇLARI'!B278</f>
        <v>SERDİVAN</v>
      </c>
      <c r="C435" s="171" t="str">
        <f>'YÜKLENİCİ ARAÇLARI'!C278</f>
        <v>UFUK KÖYMEN</v>
      </c>
      <c r="D435" s="171">
        <f>'YÜKLENİCİ ARAÇLARI'!D278</f>
        <v>0</v>
      </c>
      <c r="E435" s="216" t="str">
        <f>'YÜKLENİCİ ARAÇLARI'!E278</f>
        <v>TEK</v>
      </c>
      <c r="F435" s="216">
        <f>'YÜKLENİCİ ARAÇLARI'!F278</f>
        <v>0</v>
      </c>
      <c r="G435" s="217">
        <f>'YÜKLENİCİ ARAÇLARI'!G278</f>
        <v>1500</v>
      </c>
      <c r="H435" s="217">
        <f>'YÜKLENİCİ ARAÇLARI'!H278</f>
        <v>0</v>
      </c>
      <c r="I435" s="217">
        <f>'YÜKLENİCİ ARAÇLARI'!I278</f>
        <v>0</v>
      </c>
      <c r="J435" s="217">
        <f>'YÜKLENİCİ ARAÇLARI'!J278</f>
        <v>0</v>
      </c>
      <c r="K435" s="217">
        <f>'YÜKLENİCİ ARAÇLARI'!K278</f>
        <v>0</v>
      </c>
      <c r="L435" s="217">
        <f>'YÜKLENİCİ ARAÇLARI'!L278</f>
        <v>0</v>
      </c>
    </row>
    <row r="436" spans="1:12" ht="15" thickTop="1" thickBot="1" x14ac:dyDescent="0.3">
      <c r="A436" s="171" t="str">
        <f>'YÜKLENİCİ ARAÇLARI'!A279</f>
        <v>AQUAKRAFT</v>
      </c>
      <c r="B436" s="171" t="str">
        <f>'YÜKLENİCİ ARAÇLARI'!B279</f>
        <v>KORUCUK  SERCAN YERİNE</v>
      </c>
      <c r="C436" s="171" t="str">
        <f>'YÜKLENİCİ ARAÇLARI'!C279</f>
        <v>UFUK KÖYMEN</v>
      </c>
      <c r="D436" s="171">
        <f>'YÜKLENİCİ ARAÇLARI'!D279</f>
        <v>0</v>
      </c>
      <c r="E436" s="216" t="str">
        <f>'YÜKLENİCİ ARAÇLARI'!E279</f>
        <v>TEK</v>
      </c>
      <c r="F436" s="216">
        <f>'YÜKLENİCİ ARAÇLARI'!F279</f>
        <v>3</v>
      </c>
      <c r="G436" s="217">
        <f>'YÜKLENİCİ ARAÇLARI'!G279</f>
        <v>1800</v>
      </c>
      <c r="H436" s="217">
        <f>'YÜKLENİCİ ARAÇLARI'!H279</f>
        <v>5400</v>
      </c>
      <c r="I436" s="217">
        <f>'YÜKLENİCİ ARAÇLARI'!I279</f>
        <v>1080</v>
      </c>
      <c r="J436" s="217">
        <f>'YÜKLENİCİ ARAÇLARI'!J279</f>
        <v>6480</v>
      </c>
      <c r="K436" s="217">
        <f>'YÜKLENİCİ ARAÇLARI'!K279</f>
        <v>540</v>
      </c>
      <c r="L436" s="217">
        <f>'YÜKLENİCİ ARAÇLARI'!L279</f>
        <v>5940</v>
      </c>
    </row>
    <row r="437" spans="1:12" ht="15" thickTop="1" thickBot="1" x14ac:dyDescent="0.3">
      <c r="A437" s="171" t="str">
        <f>'YÜKLENİCİ ARAÇLARI'!A280</f>
        <v>AQUAKRAFT</v>
      </c>
      <c r="B437" s="171" t="str">
        <f>'YÜKLENİCİ ARAÇLARI'!B280</f>
        <v xml:space="preserve">ERENLER ARDA ÖZKÖK </v>
      </c>
      <c r="C437" s="171" t="str">
        <f>'YÜKLENİCİ ARAÇLARI'!C280</f>
        <v>UFUK KÖYMEN</v>
      </c>
      <c r="D437" s="171">
        <f>'YÜKLENİCİ ARAÇLARI'!D280</f>
        <v>0</v>
      </c>
      <c r="E437" s="216" t="str">
        <f>'YÜKLENİCİ ARAÇLARI'!E280</f>
        <v>TEK</v>
      </c>
      <c r="F437" s="216">
        <f>'YÜKLENİCİ ARAÇLARI'!F280</f>
        <v>0</v>
      </c>
      <c r="G437" s="217">
        <f>'YÜKLENİCİ ARAÇLARI'!G280</f>
        <v>1500</v>
      </c>
      <c r="H437" s="217">
        <f>'YÜKLENİCİ ARAÇLARI'!H280</f>
        <v>0</v>
      </c>
      <c r="I437" s="217">
        <f>'YÜKLENİCİ ARAÇLARI'!I280</f>
        <v>0</v>
      </c>
      <c r="J437" s="217">
        <f>'YÜKLENİCİ ARAÇLARI'!J280</f>
        <v>0</v>
      </c>
      <c r="K437" s="217">
        <f>'YÜKLENİCİ ARAÇLARI'!K280</f>
        <v>0</v>
      </c>
      <c r="L437" s="217">
        <f>'YÜKLENİCİ ARAÇLARI'!L280</f>
        <v>0</v>
      </c>
    </row>
    <row r="438" spans="1:12" ht="14.4" thickTop="1" x14ac:dyDescent="0.25"/>
    <row r="439" spans="1:12" s="186" customFormat="1" ht="15.6" thickBot="1" x14ac:dyDescent="0.3">
      <c r="E439" s="321"/>
      <c r="F439" s="478"/>
      <c r="G439" s="479"/>
      <c r="H439" s="479">
        <f>SUM(H417:H438)</f>
        <v>490350</v>
      </c>
      <c r="I439" s="479">
        <f t="shared" ref="I439:K439" si="62">SUM(I417:I438)</f>
        <v>98070</v>
      </c>
      <c r="J439" s="479">
        <f t="shared" si="62"/>
        <v>588420</v>
      </c>
      <c r="K439" s="479">
        <f t="shared" si="62"/>
        <v>49035</v>
      </c>
      <c r="L439" s="479">
        <f>SUM(L417:L438)</f>
        <v>539385</v>
      </c>
    </row>
    <row r="440" spans="1:12" ht="14.4" thickTop="1" x14ac:dyDescent="0.25"/>
    <row r="441" spans="1:12" ht="18" thickBot="1" x14ac:dyDescent="0.35">
      <c r="A441" s="529" t="s">
        <v>349</v>
      </c>
      <c r="B441" s="529"/>
      <c r="C441" s="529"/>
      <c r="D441" s="181"/>
    </row>
    <row r="442" spans="1:12" ht="15" thickTop="1" thickBot="1" x14ac:dyDescent="0.3">
      <c r="A442" s="467" t="str">
        <f>'YÜKLENİCİ ARAÇLARI'!A24</f>
        <v>BAŞAK TRAKTÖR</v>
      </c>
      <c r="B442" s="467" t="str">
        <f>'YÜKLENİCİ ARAÇLARI'!B24</f>
        <v>YENİCAMİ/SALKO CAMİİ</v>
      </c>
      <c r="C442" s="467" t="str">
        <f>'YÜKLENİCİ ARAÇLARI'!C24</f>
        <v>UGUR ERGEZEN</v>
      </c>
      <c r="D442" s="171"/>
      <c r="E442" s="467" t="str">
        <f>'YÜKLENİCİ ARAÇLARI'!E24</f>
        <v>GRŞ/ÇKŞ</v>
      </c>
      <c r="F442" s="467">
        <f>'YÜKLENİCİ ARAÇLARI'!F24</f>
        <v>16.5</v>
      </c>
      <c r="G442" s="468">
        <f>'YÜKLENİCİ ARAÇLARI'!G24</f>
        <v>1800</v>
      </c>
      <c r="H442" s="468">
        <f>'YÜKLENİCİ ARAÇLARI'!H24</f>
        <v>29700</v>
      </c>
      <c r="I442" s="468">
        <f>'YÜKLENİCİ ARAÇLARI'!I24</f>
        <v>5940</v>
      </c>
      <c r="J442" s="468">
        <f>'YÜKLENİCİ ARAÇLARI'!J24</f>
        <v>35640</v>
      </c>
      <c r="K442" s="468">
        <f>'YÜKLENİCİ ARAÇLARI'!K24</f>
        <v>2970</v>
      </c>
      <c r="L442" s="468">
        <f>'YÜKLENİCİ ARAÇLARI'!L24</f>
        <v>32670</v>
      </c>
    </row>
    <row r="443" spans="1:12" ht="15" thickTop="1" thickBot="1" x14ac:dyDescent="0.3">
      <c r="A443" s="467" t="str">
        <f>'YÜKLENİCİ ARAÇLARI'!A25</f>
        <v>BAŞAK TRAKTÖR</v>
      </c>
      <c r="B443" s="467" t="str">
        <f>'YÜKLENİCİ ARAÇLARI'!B25</f>
        <v>YENİCAMİ MESAİ</v>
      </c>
      <c r="C443" s="467" t="str">
        <f>'YÜKLENİCİ ARAÇLARI'!C25</f>
        <v>UGUR ERGEZEN</v>
      </c>
      <c r="D443" s="171"/>
      <c r="E443" s="467" t="str">
        <f>'YÜKLENİCİ ARAÇLARI'!E25</f>
        <v>MESAİ</v>
      </c>
      <c r="F443" s="467">
        <f>'YÜKLENİCİ ARAÇLARI'!F25</f>
        <v>0</v>
      </c>
      <c r="G443" s="467">
        <f>'YÜKLENİCİ ARAÇLARI'!G25</f>
        <v>0</v>
      </c>
      <c r="H443" s="467">
        <f>'YÜKLENİCİ ARAÇLARI'!H25</f>
        <v>0</v>
      </c>
      <c r="I443" s="467">
        <f>'YÜKLENİCİ ARAÇLARI'!I25</f>
        <v>0</v>
      </c>
      <c r="J443" s="467">
        <f>'YÜKLENİCİ ARAÇLARI'!J25</f>
        <v>0</v>
      </c>
      <c r="K443" s="467">
        <f>'YÜKLENİCİ ARAÇLARI'!K25</f>
        <v>0</v>
      </c>
      <c r="L443" s="467">
        <f>'YÜKLENİCİ ARAÇLARI'!L25</f>
        <v>0</v>
      </c>
    </row>
    <row r="444" spans="1:12" ht="15.6" thickTop="1" x14ac:dyDescent="0.25">
      <c r="H444" s="295">
        <f>SUM(H442:H443)</f>
        <v>29700</v>
      </c>
      <c r="I444" s="295">
        <f>SUM(I442:I443)</f>
        <v>5940</v>
      </c>
      <c r="J444" s="295">
        <f>SUM(J442:J443)</f>
        <v>35640</v>
      </c>
      <c r="K444" s="295">
        <f>SUM(K442:K443)</f>
        <v>2970</v>
      </c>
      <c r="L444" s="295">
        <f>SUM(L442:L443)</f>
        <v>32670</v>
      </c>
    </row>
    <row r="445" spans="1:12" ht="19.2" customHeight="1" thickBot="1" x14ac:dyDescent="0.35">
      <c r="A445" s="529" t="s">
        <v>302</v>
      </c>
      <c r="B445" s="529"/>
      <c r="C445" s="529"/>
      <c r="D445" s="181"/>
    </row>
    <row r="446" spans="1:12" ht="15" thickTop="1" thickBot="1" x14ac:dyDescent="0.3">
      <c r="A446" s="474" t="str">
        <f>'YÜKLENİCİ ARAÇLARI'!A149</f>
        <v>GEDİK KAYNAK</v>
      </c>
      <c r="B446" s="474" t="str">
        <f>'YÜKLENİCİ ARAÇLARI'!B149</f>
        <v>AKYAZI 1  KÖY VRD</v>
      </c>
      <c r="C446" s="474" t="str">
        <f>'YÜKLENİCİ ARAÇLARI'!C149</f>
        <v>UGUR BENLİ</v>
      </c>
      <c r="D446" s="474">
        <f>'YÜKLENİCİ ARAÇLARI'!D149</f>
        <v>0</v>
      </c>
      <c r="E446" s="474" t="str">
        <f>'YÜKLENİCİ ARAÇLARI'!E149</f>
        <v>VRD</v>
      </c>
      <c r="F446" s="474">
        <f>'YÜKLENİCİ ARAÇLARI'!F149</f>
        <v>42</v>
      </c>
      <c r="G446" s="475">
        <f>'YÜKLENİCİ ARAÇLARI'!G149</f>
        <v>620</v>
      </c>
      <c r="H446" s="475">
        <f>'YÜKLENİCİ ARAÇLARI'!H149</f>
        <v>26040</v>
      </c>
      <c r="I446" s="475">
        <f>'YÜKLENİCİ ARAÇLARI'!I149</f>
        <v>5208</v>
      </c>
      <c r="J446" s="475">
        <f>'YÜKLENİCİ ARAÇLARI'!J149</f>
        <v>31248</v>
      </c>
      <c r="K446" s="475">
        <f>'YÜKLENİCİ ARAÇLARI'!K149</f>
        <v>2604</v>
      </c>
      <c r="L446" s="475">
        <f>'YÜKLENİCİ ARAÇLARI'!L149</f>
        <v>28644</v>
      </c>
    </row>
    <row r="447" spans="1:12" ht="15" thickTop="1" thickBot="1" x14ac:dyDescent="0.3">
      <c r="A447" s="474" t="str">
        <f>'YÜKLENİCİ ARAÇLARI'!A150</f>
        <v>GEDİK KAYNAK</v>
      </c>
      <c r="B447" s="474" t="str">
        <f>'YÜKLENİCİ ARAÇLARI'!B150</f>
        <v>AKYAZI 1  KÖY VRD</v>
      </c>
      <c r="C447" s="474" t="str">
        <f>'YÜKLENİCİ ARAÇLARI'!C150</f>
        <v>UGUR BENLİ</v>
      </c>
      <c r="D447" s="474">
        <f>'YÜKLENİCİ ARAÇLARI'!D150</f>
        <v>0</v>
      </c>
      <c r="E447" s="474" t="str">
        <f>'YÜKLENİCİ ARAÇLARI'!E150</f>
        <v>TEK YÖN G/Ç</v>
      </c>
      <c r="F447" s="474">
        <f>'YÜKLENİCİ ARAÇLARI'!F150</f>
        <v>42</v>
      </c>
      <c r="G447" s="475">
        <f>'YÜKLENİCİ ARAÇLARI'!G150</f>
        <v>1150</v>
      </c>
      <c r="H447" s="475">
        <f>'YÜKLENİCİ ARAÇLARI'!H150</f>
        <v>48300</v>
      </c>
      <c r="I447" s="475">
        <f>'YÜKLENİCİ ARAÇLARI'!I150</f>
        <v>9660</v>
      </c>
      <c r="J447" s="475">
        <f>'YÜKLENİCİ ARAÇLARI'!J150</f>
        <v>57960</v>
      </c>
      <c r="K447" s="475">
        <f>'YÜKLENİCİ ARAÇLARI'!K150</f>
        <v>4830</v>
      </c>
      <c r="L447" s="475">
        <f>'YÜKLENİCİ ARAÇLARI'!L150</f>
        <v>53130</v>
      </c>
    </row>
    <row r="448" spans="1:12" ht="15" thickTop="1" thickBot="1" x14ac:dyDescent="0.3">
      <c r="A448" s="474" t="str">
        <f>'YÜKLENİCİ ARAÇLARI'!A151</f>
        <v>GEDİK KAYNAK</v>
      </c>
      <c r="B448" s="474" t="str">
        <f>'YÜKLENİCİ ARAÇLARI'!B151</f>
        <v>ÇAMLICA</v>
      </c>
      <c r="C448" s="474" t="str">
        <f>'YÜKLENİCİ ARAÇLARI'!C151</f>
        <v>UGUR BENLİ</v>
      </c>
      <c r="D448" s="474">
        <f>'YÜKLENİCİ ARAÇLARI'!D151</f>
        <v>0</v>
      </c>
      <c r="E448" s="474" t="str">
        <f>'YÜKLENİCİ ARAÇLARI'!E151</f>
        <v>VRD</v>
      </c>
      <c r="F448" s="474">
        <f>'YÜKLENİCİ ARAÇLARI'!F151</f>
        <v>42</v>
      </c>
      <c r="G448" s="475">
        <f>'YÜKLENİCİ ARAÇLARI'!G151</f>
        <v>620</v>
      </c>
      <c r="H448" s="475">
        <f>'YÜKLENİCİ ARAÇLARI'!H151</f>
        <v>26040</v>
      </c>
      <c r="I448" s="475">
        <f>'YÜKLENİCİ ARAÇLARI'!I151</f>
        <v>5208</v>
      </c>
      <c r="J448" s="475">
        <f>'YÜKLENİCİ ARAÇLARI'!J151</f>
        <v>31248</v>
      </c>
      <c r="K448" s="475">
        <f>'YÜKLENİCİ ARAÇLARI'!K151</f>
        <v>2604</v>
      </c>
      <c r="L448" s="475">
        <f>'YÜKLENİCİ ARAÇLARI'!L151</f>
        <v>28644</v>
      </c>
    </row>
    <row r="449" spans="1:13" ht="15" thickTop="1" thickBot="1" x14ac:dyDescent="0.3">
      <c r="A449" s="474" t="str">
        <f>'YÜKLENİCİ ARAÇLARI'!A152</f>
        <v>GEDİK KAYNAK</v>
      </c>
      <c r="B449" s="474" t="str">
        <f>'YÜKLENİCİ ARAÇLARI'!B152</f>
        <v>ÇAMLICA</v>
      </c>
      <c r="C449" s="474" t="str">
        <f>'YÜKLENİCİ ARAÇLARI'!C152</f>
        <v>UGUR BENLİ</v>
      </c>
      <c r="D449" s="474">
        <f>'YÜKLENİCİ ARAÇLARI'!D152</f>
        <v>0</v>
      </c>
      <c r="E449" s="474" t="str">
        <f>'YÜKLENİCİ ARAÇLARI'!E152</f>
        <v>TEK YÖN G/Ç</v>
      </c>
      <c r="F449" s="474">
        <f>'YÜKLENİCİ ARAÇLARI'!F152</f>
        <v>42</v>
      </c>
      <c r="G449" s="475">
        <f>'YÜKLENİCİ ARAÇLARI'!G152</f>
        <v>1150</v>
      </c>
      <c r="H449" s="475">
        <f>'YÜKLENİCİ ARAÇLARI'!H152</f>
        <v>48300</v>
      </c>
      <c r="I449" s="475">
        <f>'YÜKLENİCİ ARAÇLARI'!I152</f>
        <v>9660</v>
      </c>
      <c r="J449" s="475">
        <f>'YÜKLENİCİ ARAÇLARI'!J152</f>
        <v>57960</v>
      </c>
      <c r="K449" s="475">
        <f>'YÜKLENİCİ ARAÇLARI'!K152</f>
        <v>4830</v>
      </c>
      <c r="L449" s="475">
        <f>'YÜKLENİCİ ARAÇLARI'!L152</f>
        <v>53130</v>
      </c>
    </row>
    <row r="450" spans="1:13" ht="15" hidden="1" thickTop="1" thickBot="1" x14ac:dyDescent="0.3">
      <c r="A450" s="474" t="str">
        <f>'YÜKLENİCİ ARAÇLARI'!A183</f>
        <v>GEDİK KAYNAK</v>
      </c>
      <c r="B450" s="474" t="str">
        <f>'YÜKLENİCİ ARAÇLARI'!B183</f>
        <v>ÇAMLICA</v>
      </c>
      <c r="C450" s="474" t="str">
        <f>'YÜKLENİCİ ARAÇLARI'!C183</f>
        <v>UGUR BENLİ</v>
      </c>
      <c r="D450" s="474">
        <f>'YÜKLENİCİ ARAÇLARI'!D183</f>
        <v>0</v>
      </c>
      <c r="E450" s="474" t="str">
        <f>'YÜKLENİCİ ARAÇLARI'!E183</f>
        <v>18:00/MESAİ</v>
      </c>
      <c r="F450" s="474">
        <f>'YÜKLENİCİ ARAÇLARI'!F183</f>
        <v>0</v>
      </c>
      <c r="G450" s="475">
        <f>'YÜKLENİCİ ARAÇLARI'!G183</f>
        <v>1500</v>
      </c>
      <c r="H450" s="475">
        <f>'YÜKLENİCİ ARAÇLARI'!H183</f>
        <v>0</v>
      </c>
      <c r="I450" s="475">
        <f>'YÜKLENİCİ ARAÇLARI'!I183</f>
        <v>0</v>
      </c>
      <c r="J450" s="475">
        <f>'YÜKLENİCİ ARAÇLARI'!J183</f>
        <v>0</v>
      </c>
      <c r="K450" s="475">
        <f>'YÜKLENİCİ ARAÇLARI'!K183</f>
        <v>0</v>
      </c>
      <c r="L450" s="475">
        <f>'YÜKLENİCİ ARAÇLARI'!L183</f>
        <v>0</v>
      </c>
    </row>
    <row r="451" spans="1:13" ht="15" hidden="1" thickTop="1" thickBot="1" x14ac:dyDescent="0.3">
      <c r="A451" s="474" t="str">
        <f>'YÜKLENİCİ ARAÇLARI'!A192</f>
        <v>GEDİK KAYNAK</v>
      </c>
      <c r="B451" s="474" t="str">
        <f>'YÜKLENİCİ ARAÇLARI'!B192</f>
        <v>ÇAMLICA</v>
      </c>
      <c r="C451" s="474" t="str">
        <f>'YÜKLENİCİ ARAÇLARI'!C192</f>
        <v>UGUR BENLİ</v>
      </c>
      <c r="D451" s="474">
        <f>'YÜKLENİCİ ARAÇLARI'!D192</f>
        <v>0</v>
      </c>
      <c r="E451" s="474" t="str">
        <f>'YÜKLENİCİ ARAÇLARI'!E192</f>
        <v>20:00 MESAİ</v>
      </c>
      <c r="F451" s="474">
        <f>'YÜKLENİCİ ARAÇLARI'!F192</f>
        <v>0</v>
      </c>
      <c r="G451" s="475">
        <f>'YÜKLENİCİ ARAÇLARI'!G192</f>
        <v>1500</v>
      </c>
      <c r="H451" s="475">
        <f>'YÜKLENİCİ ARAÇLARI'!H192</f>
        <v>0</v>
      </c>
      <c r="I451" s="475">
        <f>'YÜKLENİCİ ARAÇLARI'!I192</f>
        <v>0</v>
      </c>
      <c r="J451" s="475">
        <f>'YÜKLENİCİ ARAÇLARI'!J192</f>
        <v>0</v>
      </c>
      <c r="K451" s="475">
        <f>'YÜKLENİCİ ARAÇLARI'!K192</f>
        <v>0</v>
      </c>
      <c r="L451" s="475">
        <f>'YÜKLENİCİ ARAÇLARI'!L192</f>
        <v>0</v>
      </c>
    </row>
    <row r="452" spans="1:13" ht="15" hidden="1" thickTop="1" thickBot="1" x14ac:dyDescent="0.3">
      <c r="A452" s="474" t="str">
        <f>'YÜKLENİCİ ARAÇLARI'!A193</f>
        <v>GEDİK KAYNAK</v>
      </c>
      <c r="B452" s="474" t="str">
        <f>'YÜKLENİCİ ARAÇLARI'!B193</f>
        <v>AKYAZI KÖY</v>
      </c>
      <c r="C452" s="474" t="str">
        <f>'YÜKLENİCİ ARAÇLARI'!C193</f>
        <v>UGUR BENLİ</v>
      </c>
      <c r="D452" s="474">
        <f>'YÜKLENİCİ ARAÇLARI'!D193</f>
        <v>0</v>
      </c>
      <c r="E452" s="474" t="str">
        <f>'YÜKLENİCİ ARAÇLARI'!E193</f>
        <v>20:00 MESAİ</v>
      </c>
      <c r="F452" s="474">
        <f>'YÜKLENİCİ ARAÇLARI'!F193</f>
        <v>0</v>
      </c>
      <c r="G452" s="475">
        <f>'YÜKLENİCİ ARAÇLARI'!G193</f>
        <v>1500</v>
      </c>
      <c r="H452" s="475">
        <f>'YÜKLENİCİ ARAÇLARI'!H193</f>
        <v>0</v>
      </c>
      <c r="I452" s="475">
        <f>'YÜKLENİCİ ARAÇLARI'!I193</f>
        <v>0</v>
      </c>
      <c r="J452" s="475">
        <f>'YÜKLENİCİ ARAÇLARI'!J193</f>
        <v>0</v>
      </c>
      <c r="K452" s="475">
        <f>'YÜKLENİCİ ARAÇLARI'!K193</f>
        <v>0</v>
      </c>
      <c r="L452" s="475">
        <f>'YÜKLENİCİ ARAÇLARI'!L193</f>
        <v>0</v>
      </c>
    </row>
    <row r="453" spans="1:13" ht="15" thickTop="1" thickBot="1" x14ac:dyDescent="0.3">
      <c r="A453" s="474" t="str">
        <f>'YÜKLENİCİ ARAÇLARI'!A199</f>
        <v>GEDİK KAYNAK</v>
      </c>
      <c r="B453" s="474" t="str">
        <f>'YÜKLENİCİ ARAÇLARI'!B199</f>
        <v>AKYAZI KÖY/ÇAMLICA</v>
      </c>
      <c r="C453" s="474" t="str">
        <f>'YÜKLENİCİ ARAÇLARI'!C199</f>
        <v>UGUR BENLİ</v>
      </c>
      <c r="D453" s="474">
        <f>'YÜKLENİCİ ARAÇLARI'!D199</f>
        <v>0</v>
      </c>
      <c r="E453" s="474" t="str">
        <f>'YÜKLENİCİ ARAÇLARI'!E199</f>
        <v>PAZAR</v>
      </c>
      <c r="F453" s="474">
        <f>'YÜKLENİCİ ARAÇLARI'!F199</f>
        <v>1</v>
      </c>
      <c r="G453" s="475">
        <f>'YÜKLENİCİ ARAÇLARI'!G199</f>
        <v>2300</v>
      </c>
      <c r="H453" s="476">
        <f>'YÜKLENİCİ ARAÇLARI'!H199</f>
        <v>2300</v>
      </c>
      <c r="I453" s="476">
        <f>'YÜKLENİCİ ARAÇLARI'!I199</f>
        <v>460</v>
      </c>
      <c r="J453" s="476">
        <f>'YÜKLENİCİ ARAÇLARI'!J199</f>
        <v>2760</v>
      </c>
      <c r="K453" s="476">
        <f>'YÜKLENİCİ ARAÇLARI'!K199</f>
        <v>230</v>
      </c>
      <c r="L453" s="476">
        <f>'YÜKLENİCİ ARAÇLARI'!L199</f>
        <v>2530</v>
      </c>
    </row>
    <row r="454" spans="1:13" ht="16.2" thickTop="1" thickBot="1" x14ac:dyDescent="0.3">
      <c r="H454" s="263">
        <f>SUM(H446:H453)</f>
        <v>150980</v>
      </c>
      <c r="I454" s="263">
        <f t="shared" ref="I454:L454" si="63">SUM(I446:I453)</f>
        <v>30196</v>
      </c>
      <c r="J454" s="263">
        <f t="shared" si="63"/>
        <v>181176</v>
      </c>
      <c r="K454" s="263">
        <f t="shared" si="63"/>
        <v>15098</v>
      </c>
      <c r="L454" s="263">
        <f t="shared" si="63"/>
        <v>166078</v>
      </c>
      <c r="M454" s="173" t="s">
        <v>587</v>
      </c>
    </row>
    <row r="455" spans="1:13" ht="15.6" thickTop="1" x14ac:dyDescent="0.25">
      <c r="H455" s="281"/>
      <c r="I455" s="281"/>
      <c r="J455" s="281"/>
      <c r="K455" s="281"/>
      <c r="L455" s="281"/>
    </row>
    <row r="456" spans="1:13" ht="19.2" customHeight="1" thickBot="1" x14ac:dyDescent="0.35">
      <c r="A456" s="529" t="s">
        <v>23</v>
      </c>
      <c r="B456" s="529"/>
      <c r="C456" s="529"/>
      <c r="D456" s="181"/>
    </row>
    <row r="457" spans="1:13" ht="15" thickTop="1" thickBot="1" x14ac:dyDescent="0.3">
      <c r="A457" s="467" t="str">
        <f>'YÜKLENİCİ ARAÇLARI'!A14</f>
        <v>BAŞAK TRAKTÖR</v>
      </c>
      <c r="B457" s="467" t="str">
        <f>'YÜKLENİCİ ARAÇLARI'!B14</f>
        <v>Ş.MAH İLAVE HACIOĞLU Ç.PZ</v>
      </c>
      <c r="C457" s="467" t="str">
        <f>'YÜKLENİCİ ARAÇLARI'!C14</f>
        <v>VEYSEL KARATAŞ</v>
      </c>
      <c r="D457" s="467"/>
      <c r="E457" s="467" t="str">
        <f>'YÜKLENİCİ ARAÇLARI'!E14</f>
        <v>GRŞ/ÇKŞ</v>
      </c>
      <c r="F457" s="467">
        <f>'YÜKLENİCİ ARAÇLARI'!F14</f>
        <v>13</v>
      </c>
      <c r="G457" s="468">
        <f>'YÜKLENİCİ ARAÇLARI'!G14</f>
        <v>1800</v>
      </c>
      <c r="H457" s="468">
        <f>'YÜKLENİCİ ARAÇLARI'!H14</f>
        <v>23400</v>
      </c>
      <c r="I457" s="468">
        <f>'YÜKLENİCİ ARAÇLARI'!I14</f>
        <v>4680</v>
      </c>
      <c r="J457" s="468">
        <f>'YÜKLENİCİ ARAÇLARI'!J14</f>
        <v>28080</v>
      </c>
      <c r="K457" s="468">
        <f>'YÜKLENİCİ ARAÇLARI'!K14</f>
        <v>2340</v>
      </c>
      <c r="L457" s="468">
        <f>'YÜKLENİCİ ARAÇLARI'!L14</f>
        <v>25740</v>
      </c>
    </row>
    <row r="458" spans="1:13" ht="15" thickTop="1" thickBot="1" x14ac:dyDescent="0.3">
      <c r="A458" s="467" t="str">
        <f>'YÜKLENİCİ ARAÇLARI'!A15</f>
        <v>BAŞAK TRAKTÖR</v>
      </c>
      <c r="B458" s="467" t="str">
        <f>'YÜKLENİCİ ARAÇLARI'!B15</f>
        <v>ERNAZ YORGALAR MESAİ</v>
      </c>
      <c r="C458" s="467" t="str">
        <f>'YÜKLENİCİ ARAÇLARI'!C15</f>
        <v>VEYSEL KARATAŞ</v>
      </c>
      <c r="D458" s="467"/>
      <c r="E458" s="467" t="str">
        <f>'YÜKLENİCİ ARAÇLARI'!E15</f>
        <v>MESAİ</v>
      </c>
      <c r="F458" s="467">
        <f>'YÜKLENİCİ ARAÇLARI'!F15</f>
        <v>0</v>
      </c>
      <c r="G458" s="468">
        <f>'YÜKLENİCİ ARAÇLARI'!G15</f>
        <v>0</v>
      </c>
      <c r="H458" s="468">
        <f>'YÜKLENİCİ ARAÇLARI'!H15</f>
        <v>0</v>
      </c>
      <c r="I458" s="468">
        <f>'YÜKLENİCİ ARAÇLARI'!I15</f>
        <v>0</v>
      </c>
      <c r="J458" s="468">
        <f>'YÜKLENİCİ ARAÇLARI'!J15</f>
        <v>0</v>
      </c>
      <c r="K458" s="468">
        <f>'YÜKLENİCİ ARAÇLARI'!K15</f>
        <v>0</v>
      </c>
      <c r="L458" s="468">
        <f>'YÜKLENİCİ ARAÇLARI'!L15</f>
        <v>0</v>
      </c>
    </row>
    <row r="459" spans="1:13" ht="15" thickTop="1" thickBot="1" x14ac:dyDescent="0.3">
      <c r="A459" s="467" t="str">
        <f>'YÜKLENİCİ ARAÇLARI'!A32</f>
        <v>BAŞAK TRAKTÖR</v>
      </c>
      <c r="B459" s="467" t="str">
        <f>'YÜKLENİCİ ARAÇLARI'!B32</f>
        <v>KARAMAN EVRENKÖY</v>
      </c>
      <c r="C459" s="467" t="str">
        <f>'YÜKLENİCİ ARAÇLARI'!C32</f>
        <v>VEYSEL KARATAŞ</v>
      </c>
      <c r="D459" s="467"/>
      <c r="E459" s="467" t="str">
        <f>'YÜKLENİCİ ARAÇLARI'!E32</f>
        <v>GRŞ/ÇKŞ</v>
      </c>
      <c r="F459" s="467">
        <f>'YÜKLENİCİ ARAÇLARI'!F32</f>
        <v>10.5</v>
      </c>
      <c r="G459" s="468">
        <f>'YÜKLENİCİ ARAÇLARI'!G32</f>
        <v>2300</v>
      </c>
      <c r="H459" s="469">
        <f>'YÜKLENİCİ ARAÇLARI'!H32</f>
        <v>24150</v>
      </c>
      <c r="I459" s="469">
        <f>'YÜKLENİCİ ARAÇLARI'!I32</f>
        <v>4830</v>
      </c>
      <c r="J459" s="469">
        <f>'YÜKLENİCİ ARAÇLARI'!J32</f>
        <v>28980</v>
      </c>
      <c r="K459" s="469">
        <f>'YÜKLENİCİ ARAÇLARI'!K32</f>
        <v>2415</v>
      </c>
      <c r="L459" s="469">
        <f>'YÜKLENİCİ ARAÇLARI'!L32</f>
        <v>26565</v>
      </c>
    </row>
    <row r="460" spans="1:13" ht="16.2" thickTop="1" thickBot="1" x14ac:dyDescent="0.3">
      <c r="H460" s="263">
        <f>SUM(H457:H459)</f>
        <v>47550</v>
      </c>
      <c r="I460" s="263">
        <f>SUM(I457:I459)</f>
        <v>9510</v>
      </c>
      <c r="J460" s="263">
        <f>SUM(J457:J459)</f>
        <v>57060</v>
      </c>
      <c r="K460" s="263">
        <f>SUM(K457:K459)</f>
        <v>4755</v>
      </c>
      <c r="L460" s="263">
        <f>SUM(L457:L459)</f>
        <v>52305</v>
      </c>
    </row>
    <row r="461" spans="1:13" ht="14.4" thickTop="1" x14ac:dyDescent="0.25"/>
    <row r="462" spans="1:13" ht="18.600000000000001" customHeight="1" thickBot="1" x14ac:dyDescent="0.4">
      <c r="A462" s="540" t="str">
        <f>'YÜKLENİCİ ARAÇLARI'!C6</f>
        <v>YALÇIN DAMAR</v>
      </c>
      <c r="B462" s="540"/>
      <c r="C462" s="540"/>
      <c r="D462" s="198"/>
    </row>
    <row r="463" spans="1:13" ht="14.4" hidden="1" customHeight="1" thickBot="1" x14ac:dyDescent="0.3">
      <c r="A463" s="171" t="e">
        <f>#REF!</f>
        <v>#REF!</v>
      </c>
      <c r="B463" s="171" t="e">
        <f>#REF!</f>
        <v>#REF!</v>
      </c>
      <c r="C463" s="171" t="e">
        <f>#REF!</f>
        <v>#REF!</v>
      </c>
      <c r="D463" s="171"/>
      <c r="E463" s="216" t="e">
        <f>#REF!</f>
        <v>#REF!</v>
      </c>
      <c r="F463" s="282" t="e">
        <f>#REF!</f>
        <v>#REF!</v>
      </c>
      <c r="G463" s="217" t="e">
        <f>#REF!</f>
        <v>#REF!</v>
      </c>
      <c r="H463" s="217" t="e">
        <f>#REF!</f>
        <v>#REF!</v>
      </c>
      <c r="I463" s="217" t="e">
        <f>#REF!</f>
        <v>#REF!</v>
      </c>
      <c r="J463" s="217" t="e">
        <f>#REF!</f>
        <v>#REF!</v>
      </c>
      <c r="K463" s="217" t="e">
        <f>#REF!</f>
        <v>#REF!</v>
      </c>
      <c r="L463" s="217" t="e">
        <f>#REF!</f>
        <v>#REF!</v>
      </c>
    </row>
    <row r="464" spans="1:13" ht="13.2" hidden="1" customHeight="1" thickTop="1" thickBot="1" x14ac:dyDescent="0.3">
      <c r="A464" s="171" t="e">
        <f>#REF!</f>
        <v>#REF!</v>
      </c>
      <c r="B464" s="171" t="e">
        <f>#REF!</f>
        <v>#REF!</v>
      </c>
      <c r="C464" s="171" t="e">
        <f>#REF!</f>
        <v>#REF!</v>
      </c>
      <c r="D464" s="171"/>
      <c r="E464" s="216" t="e">
        <f>#REF!</f>
        <v>#REF!</v>
      </c>
      <c r="F464" s="282" t="e">
        <f>#REF!</f>
        <v>#REF!</v>
      </c>
      <c r="G464" s="217" t="e">
        <f>#REF!</f>
        <v>#REF!</v>
      </c>
      <c r="H464" s="217" t="e">
        <f>#REF!</f>
        <v>#REF!</v>
      </c>
      <c r="I464" s="217" t="e">
        <f>#REF!</f>
        <v>#REF!</v>
      </c>
      <c r="J464" s="217" t="e">
        <f>#REF!</f>
        <v>#REF!</v>
      </c>
      <c r="K464" s="217" t="e">
        <f>#REF!</f>
        <v>#REF!</v>
      </c>
      <c r="L464" s="217" t="e">
        <f>#REF!</f>
        <v>#REF!</v>
      </c>
    </row>
    <row r="465" spans="1:12" ht="15" hidden="1" customHeight="1" thickTop="1" thickBot="1" x14ac:dyDescent="0.3">
      <c r="A465" s="171" t="e">
        <f>#REF!</f>
        <v>#REF!</v>
      </c>
      <c r="B465" s="171" t="e">
        <f>#REF!</f>
        <v>#REF!</v>
      </c>
      <c r="C465" s="171" t="e">
        <f>#REF!</f>
        <v>#REF!</v>
      </c>
      <c r="D465" s="171"/>
      <c r="E465" s="216" t="e">
        <f>#REF!</f>
        <v>#REF!</v>
      </c>
      <c r="F465" s="282" t="e">
        <f>#REF!</f>
        <v>#REF!</v>
      </c>
      <c r="G465" s="270" t="e">
        <f>#REF!</f>
        <v>#REF!</v>
      </c>
      <c r="H465" s="270" t="e">
        <f>#REF!</f>
        <v>#REF!</v>
      </c>
      <c r="I465" s="270" t="e">
        <f>#REF!</f>
        <v>#REF!</v>
      </c>
      <c r="J465" s="270" t="e">
        <f>#REF!</f>
        <v>#REF!</v>
      </c>
      <c r="K465" s="270" t="e">
        <f>#REF!</f>
        <v>#REF!</v>
      </c>
      <c r="L465" s="270" t="e">
        <f>#REF!</f>
        <v>#REF!</v>
      </c>
    </row>
    <row r="466" spans="1:12" ht="15" thickTop="1" thickBot="1" x14ac:dyDescent="0.3">
      <c r="A466" s="467" t="str">
        <f>'YÜKLENİCİ ARAÇLARI'!A6</f>
        <v>BAŞAK TRAKTÖR</v>
      </c>
      <c r="B466" s="467" t="str">
        <f>'YÜKLENİCİ ARAÇLARI'!B6</f>
        <v>BEŞEVLER  ALANDÜZÜ</v>
      </c>
      <c r="C466" s="467" t="str">
        <f>'YÜKLENİCİ ARAÇLARI'!C6</f>
        <v>YALÇIN DAMAR</v>
      </c>
      <c r="D466" s="467"/>
      <c r="E466" s="467" t="str">
        <f>'YÜKLENİCİ ARAÇLARI'!E6</f>
        <v>GRŞ/ÇKŞ</v>
      </c>
      <c r="F466" s="467">
        <f>'YÜKLENİCİ ARAÇLARI'!F6</f>
        <v>16</v>
      </c>
      <c r="G466" s="468">
        <f>'YÜKLENİCİ ARAÇLARI'!G6</f>
        <v>2700</v>
      </c>
      <c r="H466" s="468">
        <f>'YÜKLENİCİ ARAÇLARI'!H6</f>
        <v>43200</v>
      </c>
      <c r="I466" s="468">
        <f>'YÜKLENİCİ ARAÇLARI'!I6</f>
        <v>8640</v>
      </c>
      <c r="J466" s="468">
        <f>'YÜKLENİCİ ARAÇLARI'!J6</f>
        <v>51840</v>
      </c>
      <c r="K466" s="468">
        <f>'YÜKLENİCİ ARAÇLARI'!K6</f>
        <v>4320</v>
      </c>
      <c r="L466" s="468">
        <f>'YÜKLENİCİ ARAÇLARI'!L6</f>
        <v>47520</v>
      </c>
    </row>
    <row r="467" spans="1:12" ht="15" thickTop="1" thickBot="1" x14ac:dyDescent="0.3">
      <c r="A467" s="467" t="str">
        <f>'YÜKLENİCİ ARAÇLARI'!A54</f>
        <v>BAŞAK TRAKTÖR</v>
      </c>
      <c r="B467" s="467" t="str">
        <f>'YÜKLENİCİ ARAÇLARI'!B54</f>
        <v>VARDİYE KORUCUK</v>
      </c>
      <c r="C467" s="467" t="str">
        <f>'YÜKLENİCİ ARAÇLARI'!C54</f>
        <v>YALÇIN DAMAR</v>
      </c>
      <c r="D467" s="467"/>
      <c r="E467" s="467" t="str">
        <f>'YÜKLENİCİ ARAÇLARI'!E54</f>
        <v>VRD</v>
      </c>
      <c r="F467" s="467">
        <f>'YÜKLENİCİ ARAÇLARI'!F54</f>
        <v>51</v>
      </c>
      <c r="G467" s="468">
        <f>'YÜKLENİCİ ARAÇLARI'!G54</f>
        <v>1050</v>
      </c>
      <c r="H467" s="468">
        <f>'YÜKLENİCİ ARAÇLARI'!H54</f>
        <v>53550</v>
      </c>
      <c r="I467" s="468">
        <f>'YÜKLENİCİ ARAÇLARI'!I54</f>
        <v>10710</v>
      </c>
      <c r="J467" s="468">
        <f>'YÜKLENİCİ ARAÇLARI'!J54</f>
        <v>64260</v>
      </c>
      <c r="K467" s="468">
        <f>'YÜKLENİCİ ARAÇLARI'!K54</f>
        <v>5355</v>
      </c>
      <c r="L467" s="468">
        <f>'YÜKLENİCİ ARAÇLARI'!L54</f>
        <v>58905</v>
      </c>
    </row>
    <row r="468" spans="1:12" ht="15" thickTop="1" thickBot="1" x14ac:dyDescent="0.3">
      <c r="A468" s="467" t="str">
        <f>'YÜKLENİCİ ARAÇLARI'!A55</f>
        <v>BAŞAK TRAKTÖR</v>
      </c>
      <c r="B468" s="467" t="str">
        <f>'YÜKLENİCİ ARAÇLARI'!B55</f>
        <v>VARDİYE ÇARŞI</v>
      </c>
      <c r="C468" s="467" t="str">
        <f>'YÜKLENİCİ ARAÇLARI'!C55</f>
        <v>YALÇIN DAMAR</v>
      </c>
      <c r="D468" s="467"/>
      <c r="E468" s="467" t="str">
        <f>'YÜKLENİCİ ARAÇLARI'!E55</f>
        <v>VRD</v>
      </c>
      <c r="F468" s="467">
        <f>'YÜKLENİCİ ARAÇLARI'!F55</f>
        <v>0</v>
      </c>
      <c r="G468" s="468">
        <f>'YÜKLENİCİ ARAÇLARI'!G55</f>
        <v>900</v>
      </c>
      <c r="H468" s="468">
        <f>'YÜKLENİCİ ARAÇLARI'!H55</f>
        <v>0</v>
      </c>
      <c r="I468" s="468">
        <f>'YÜKLENİCİ ARAÇLARI'!I55</f>
        <v>0</v>
      </c>
      <c r="J468" s="468">
        <f>'YÜKLENİCİ ARAÇLARI'!J55</f>
        <v>0</v>
      </c>
      <c r="K468" s="468">
        <f>'YÜKLENİCİ ARAÇLARI'!K55</f>
        <v>0</v>
      </c>
      <c r="L468" s="468">
        <f>'YÜKLENİCİ ARAÇLARI'!L55</f>
        <v>0</v>
      </c>
    </row>
    <row r="469" spans="1:12" ht="15" thickTop="1" thickBot="1" x14ac:dyDescent="0.3">
      <c r="A469" s="467" t="str">
        <f>'YÜKLENİCİ ARAÇLARI'!A56</f>
        <v>BAŞAK TRAKTÖR</v>
      </c>
      <c r="B469" s="467" t="str">
        <f>'YÜKLENİCİ ARAÇLARI'!B56</f>
        <v xml:space="preserve">KORUCUK MESAİ </v>
      </c>
      <c r="C469" s="467" t="str">
        <f>'YÜKLENİCİ ARAÇLARI'!C56</f>
        <v>YALÇIN DAMAR</v>
      </c>
      <c r="D469" s="467"/>
      <c r="E469" s="467" t="str">
        <f>'YÜKLENİCİ ARAÇLARI'!E56</f>
        <v>MESAİ</v>
      </c>
      <c r="F469" s="467">
        <f>'YÜKLENİCİ ARAÇLARI'!F56</f>
        <v>0</v>
      </c>
      <c r="G469" s="468">
        <f>'YÜKLENİCİ ARAÇLARI'!G56</f>
        <v>0</v>
      </c>
      <c r="H469" s="469">
        <f>'YÜKLENİCİ ARAÇLARI'!H56</f>
        <v>0</v>
      </c>
      <c r="I469" s="469">
        <f>'YÜKLENİCİ ARAÇLARI'!I56</f>
        <v>0</v>
      </c>
      <c r="J469" s="469">
        <f>'YÜKLENİCİ ARAÇLARI'!J56</f>
        <v>0</v>
      </c>
      <c r="K469" s="469">
        <f>'YÜKLENİCİ ARAÇLARI'!K56</f>
        <v>0</v>
      </c>
      <c r="L469" s="469">
        <f>'YÜKLENİCİ ARAÇLARI'!L56</f>
        <v>0</v>
      </c>
    </row>
    <row r="470" spans="1:12" s="186" customFormat="1" ht="16.2" thickTop="1" thickBot="1" x14ac:dyDescent="0.3">
      <c r="A470" s="193"/>
      <c r="B470" s="193"/>
      <c r="C470" s="193"/>
      <c r="D470" s="193"/>
      <c r="E470" s="318"/>
      <c r="F470" s="294"/>
      <c r="G470" s="281"/>
      <c r="H470" s="263">
        <f>SUM(H466:H469)</f>
        <v>96750</v>
      </c>
      <c r="I470" s="263">
        <f>SUM(I466:I469)</f>
        <v>19350</v>
      </c>
      <c r="J470" s="263">
        <f>SUM(J466:J469)</f>
        <v>116100</v>
      </c>
      <c r="K470" s="263">
        <f>SUM(K466:K469)</f>
        <v>9675</v>
      </c>
      <c r="L470" s="263">
        <f>SUM(L466:L469)</f>
        <v>106425</v>
      </c>
    </row>
    <row r="471" spans="1:12" ht="14.4" thickTop="1" x14ac:dyDescent="0.25"/>
    <row r="472" spans="1:12" ht="18" hidden="1" thickBot="1" x14ac:dyDescent="0.35">
      <c r="A472" s="529"/>
      <c r="B472" s="529"/>
      <c r="C472" s="529"/>
      <c r="D472" s="181"/>
    </row>
    <row r="473" spans="1:12" ht="15" hidden="1" thickTop="1" thickBot="1" x14ac:dyDescent="0.3">
      <c r="A473" s="171"/>
      <c r="B473" s="171"/>
      <c r="C473" s="171"/>
      <c r="D473" s="171"/>
      <c r="E473" s="216"/>
      <c r="F473" s="216"/>
      <c r="G473" s="217"/>
      <c r="H473" s="217"/>
      <c r="I473" s="217"/>
      <c r="J473" s="217"/>
      <c r="K473" s="217"/>
      <c r="L473" s="217"/>
    </row>
    <row r="474" spans="1:12" ht="15" hidden="1" thickTop="1" thickBot="1" x14ac:dyDescent="0.3">
      <c r="A474" s="171"/>
      <c r="B474" s="171"/>
      <c r="C474" s="171"/>
      <c r="D474" s="171"/>
      <c r="E474" s="216"/>
      <c r="F474" s="216"/>
      <c r="G474" s="217"/>
      <c r="H474" s="264"/>
      <c r="I474" s="264"/>
      <c r="J474" s="264"/>
      <c r="K474" s="264"/>
      <c r="L474" s="264"/>
    </row>
    <row r="475" spans="1:12" ht="16.2" hidden="1" thickTop="1" thickBot="1" x14ac:dyDescent="0.3">
      <c r="H475" s="263">
        <f>SUM(H473:H474)</f>
        <v>0</v>
      </c>
      <c r="I475" s="263">
        <f>SUM(I473:I474)</f>
        <v>0</v>
      </c>
      <c r="J475" s="263">
        <f>SUM(J473:J474)</f>
        <v>0</v>
      </c>
      <c r="K475" s="263">
        <f>SUM(K473:K474)</f>
        <v>0</v>
      </c>
      <c r="L475" s="263">
        <f>SUM(L473:L474)</f>
        <v>0</v>
      </c>
    </row>
    <row r="476" spans="1:12" ht="14.4" hidden="1" thickTop="1" x14ac:dyDescent="0.25"/>
    <row r="477" spans="1:12" ht="18" thickBot="1" x14ac:dyDescent="0.35">
      <c r="A477" s="529" t="s">
        <v>57</v>
      </c>
      <c r="B477" s="529"/>
      <c r="C477" s="529"/>
      <c r="D477" s="181"/>
    </row>
    <row r="478" spans="1:12" ht="15" thickTop="1" thickBot="1" x14ac:dyDescent="0.3">
      <c r="A478" s="467" t="str">
        <f>'YÜKLENİCİ ARAÇLARI'!A70</f>
        <v>TÜRESAŞ  ARAÇ</v>
      </c>
      <c r="B478" s="467" t="str">
        <f>'YÜKLENİCİ ARAÇLARI'!B70</f>
        <v>KİRALIK ARAÇ</v>
      </c>
      <c r="C478" s="467" t="str">
        <f>'YÜKLENİCİ ARAÇLARI'!C70</f>
        <v>YILDIRIM KARDEŞLER</v>
      </c>
      <c r="D478" s="467"/>
      <c r="E478" s="467" t="str">
        <f>'YÜKLENİCİ ARAÇLARI'!E70</f>
        <v>AY</v>
      </c>
      <c r="F478" s="467">
        <f>'YÜKLENİCİ ARAÇLARI'!F70</f>
        <v>30</v>
      </c>
      <c r="G478" s="468">
        <f>'YÜKLENİCİ ARAÇLARI'!G70</f>
        <v>1100</v>
      </c>
      <c r="H478" s="468">
        <f>'YÜKLENİCİ ARAÇLARI'!H70</f>
        <v>33000</v>
      </c>
      <c r="I478" s="468">
        <f>'YÜKLENİCİ ARAÇLARI'!I70</f>
        <v>6600</v>
      </c>
      <c r="J478" s="468">
        <f>'YÜKLENİCİ ARAÇLARI'!J70</f>
        <v>39600</v>
      </c>
      <c r="K478" s="468">
        <f>'YÜKLENİCİ ARAÇLARI'!K70</f>
        <v>0</v>
      </c>
      <c r="L478" s="468">
        <f>'YÜKLENİCİ ARAÇLARI'!L70</f>
        <v>39600</v>
      </c>
    </row>
    <row r="479" spans="1:12" ht="15" thickTop="1" thickBot="1" x14ac:dyDescent="0.3">
      <c r="A479" s="467" t="str">
        <f>'YÜKLENİCİ ARAÇLARI'!A71</f>
        <v>TÜRESAŞ  ARAÇ</v>
      </c>
      <c r="B479" s="467" t="str">
        <f>'YÜKLENİCİ ARAÇLARI'!B71</f>
        <v>KİRALIK ARAÇ</v>
      </c>
      <c r="C479" s="467" t="str">
        <f>'YÜKLENİCİ ARAÇLARI'!C71</f>
        <v>YILDIRIM KARDEŞLER</v>
      </c>
      <c r="D479" s="467"/>
      <c r="E479" s="467" t="str">
        <f>'YÜKLENİCİ ARAÇLARI'!E71</f>
        <v>AY</v>
      </c>
      <c r="F479" s="467">
        <f>'YÜKLENİCİ ARAÇLARI'!F71</f>
        <v>30</v>
      </c>
      <c r="G479" s="468">
        <f>'YÜKLENİCİ ARAÇLARI'!G71</f>
        <v>1100</v>
      </c>
      <c r="H479" s="468">
        <f>'YÜKLENİCİ ARAÇLARI'!H71</f>
        <v>33000</v>
      </c>
      <c r="I479" s="468">
        <f>'YÜKLENİCİ ARAÇLARI'!I71</f>
        <v>6600</v>
      </c>
      <c r="J479" s="468">
        <f>'YÜKLENİCİ ARAÇLARI'!J71</f>
        <v>39600</v>
      </c>
      <c r="K479" s="468">
        <f>'YÜKLENİCİ ARAÇLARI'!K71</f>
        <v>0</v>
      </c>
      <c r="L479" s="468">
        <f>'YÜKLENİCİ ARAÇLARI'!L71</f>
        <v>39600</v>
      </c>
    </row>
    <row r="480" spans="1:12" ht="15" thickTop="1" thickBot="1" x14ac:dyDescent="0.3">
      <c r="A480" s="467" t="str">
        <f>'YÜKLENİCİ ARAÇLARI'!A72</f>
        <v>TÜRESAŞ  ARAÇ</v>
      </c>
      <c r="B480" s="467" t="str">
        <f>'YÜKLENİCİ ARAÇLARI'!B72</f>
        <v>KİRALIK ARAÇ</v>
      </c>
      <c r="C480" s="467" t="str">
        <f>'YÜKLENİCİ ARAÇLARI'!C72</f>
        <v>YILDIRIM KARDEŞLER</v>
      </c>
      <c r="D480" s="467"/>
      <c r="E480" s="467" t="str">
        <f>'YÜKLENİCİ ARAÇLARI'!E72</f>
        <v>AY</v>
      </c>
      <c r="F480" s="467">
        <f>'YÜKLENİCİ ARAÇLARI'!F72</f>
        <v>30</v>
      </c>
      <c r="G480" s="468">
        <f>'YÜKLENİCİ ARAÇLARI'!G72</f>
        <v>1100</v>
      </c>
      <c r="H480" s="468">
        <f>'YÜKLENİCİ ARAÇLARI'!H72</f>
        <v>33000</v>
      </c>
      <c r="I480" s="468">
        <f>'YÜKLENİCİ ARAÇLARI'!I72</f>
        <v>6600</v>
      </c>
      <c r="J480" s="468">
        <f>'YÜKLENİCİ ARAÇLARI'!J72</f>
        <v>39600</v>
      </c>
      <c r="K480" s="468">
        <f>'YÜKLENİCİ ARAÇLARI'!K72</f>
        <v>0</v>
      </c>
      <c r="L480" s="468">
        <f>'YÜKLENİCİ ARAÇLARI'!L72</f>
        <v>39600</v>
      </c>
    </row>
    <row r="481" spans="1:12" ht="15" thickTop="1" thickBot="1" x14ac:dyDescent="0.3">
      <c r="A481" s="467" t="str">
        <f>'YÜKLENİCİ ARAÇLARI'!A73</f>
        <v>TÜRESAŞ  ARAÇ</v>
      </c>
      <c r="B481" s="467" t="str">
        <f>'YÜKLENİCİ ARAÇLARI'!B73</f>
        <v>KİRALIK ARAÇ</v>
      </c>
      <c r="C481" s="467" t="str">
        <f>'YÜKLENİCİ ARAÇLARI'!C73</f>
        <v>YILDIRIM KARDEŞLER</v>
      </c>
      <c r="D481" s="467"/>
      <c r="E481" s="467" t="str">
        <f>'YÜKLENİCİ ARAÇLARI'!E73</f>
        <v>AY</v>
      </c>
      <c r="F481" s="467">
        <f>'YÜKLENİCİ ARAÇLARI'!F73</f>
        <v>30</v>
      </c>
      <c r="G481" s="468">
        <f>'YÜKLENİCİ ARAÇLARI'!G73</f>
        <v>1265</v>
      </c>
      <c r="H481" s="468">
        <f>'YÜKLENİCİ ARAÇLARI'!H73</f>
        <v>37950</v>
      </c>
      <c r="I481" s="468">
        <f>'YÜKLENİCİ ARAÇLARI'!I73</f>
        <v>7590</v>
      </c>
      <c r="J481" s="468">
        <f>'YÜKLENİCİ ARAÇLARI'!J73</f>
        <v>45540</v>
      </c>
      <c r="K481" s="468">
        <f>'YÜKLENİCİ ARAÇLARI'!K73</f>
        <v>0</v>
      </c>
      <c r="L481" s="468">
        <f>'YÜKLENİCİ ARAÇLARI'!L73</f>
        <v>45540</v>
      </c>
    </row>
    <row r="482" spans="1:12" ht="15" thickTop="1" thickBot="1" x14ac:dyDescent="0.3">
      <c r="A482" s="467" t="str">
        <f>'YÜKLENİCİ ARAÇLARI'!A74</f>
        <v>TÜRESAŞ  ARAÇ</v>
      </c>
      <c r="B482" s="467" t="str">
        <f>'YÜKLENİCİ ARAÇLARI'!B74</f>
        <v>HGS</v>
      </c>
      <c r="C482" s="467" t="str">
        <f>'YÜKLENİCİ ARAÇLARI'!C74</f>
        <v>YILDIRIM KARDEŞLER</v>
      </c>
      <c r="D482" s="467"/>
      <c r="E482" s="467" t="str">
        <f>'YÜKLENİCİ ARAÇLARI'!E74</f>
        <v>HGS</v>
      </c>
      <c r="F482" s="467">
        <f>'YÜKLENİCİ ARAÇLARI'!F74</f>
        <v>1</v>
      </c>
      <c r="G482" s="468">
        <f>'YÜKLENİCİ ARAÇLARI'!G74</f>
        <v>5680</v>
      </c>
      <c r="H482" s="469">
        <f>'YÜKLENİCİ ARAÇLARI'!H74</f>
        <v>5680</v>
      </c>
      <c r="I482" s="469">
        <f>'YÜKLENİCİ ARAÇLARI'!I74</f>
        <v>1136</v>
      </c>
      <c r="J482" s="469">
        <f>'YÜKLENİCİ ARAÇLARI'!J74</f>
        <v>6816</v>
      </c>
      <c r="K482" s="469">
        <f>'YÜKLENİCİ ARAÇLARI'!K74</f>
        <v>0</v>
      </c>
      <c r="L482" s="469">
        <f>'YÜKLENİCİ ARAÇLARI'!L74</f>
        <v>6816</v>
      </c>
    </row>
    <row r="483" spans="1:12" ht="16.2" thickTop="1" thickBot="1" x14ac:dyDescent="0.3">
      <c r="H483" s="263">
        <f>SUM(H478:H482)</f>
        <v>142630</v>
      </c>
      <c r="I483" s="263">
        <f>SUM(I478:I482)</f>
        <v>28526</v>
      </c>
      <c r="J483" s="263">
        <f>SUM(J478:J482)</f>
        <v>171156</v>
      </c>
      <c r="K483" s="263">
        <f>SUM(K478:K482)</f>
        <v>0</v>
      </c>
      <c r="L483" s="263">
        <f>SUM(L478:L482)</f>
        <v>171156</v>
      </c>
    </row>
    <row r="484" spans="1:12" ht="14.4" thickTop="1" x14ac:dyDescent="0.25"/>
    <row r="485" spans="1:12" x14ac:dyDescent="0.25">
      <c r="F485" s="312"/>
      <c r="G485" s="274"/>
      <c r="H485" s="274">
        <f>H483+H475+H470+H460+H454+H444+H439+H415+H408+H404+H401+H397+H391+H385+H380+H377+H372+H369+H364+H354+H343+H340+H336+H332+H291+H284+H280+H276+H254+H249+H245+H241+H234+H228+H222+H219+H215+H210+H206+H202+H198+H193+H68+H188+H165+H161+H147+H142+H137+H131+H127+H124+H120+H115+H107+H93+H89+H83+H80+H75+H64+H52+H48+H44+H38+H35+H31+H28+H23+H18</f>
        <v>7392080</v>
      </c>
      <c r="I485" s="274">
        <f t="shared" ref="I485:L485" si="64">I483+I475+I470+I460+I454+I444+I439+I415+I408+I404+I401+I397+I391+I385+I380+I377+I372+I369+I364+I354+I343+I340+I336+I332+I291+I284+I280+I276+I254+I249+I245+I241+I234+I228+I222+I219+I215+I210+I206+I202+I198+I193+I68+I188+I165+I161+I147+I142+I137+I131+I127+I124+I120+I115+I107+I93+I89+I83+I80+I75+I64+I52+I48+I44+I38+I35+I31+I28+I23+I18</f>
        <v>1457356</v>
      </c>
      <c r="J485" s="274">
        <f t="shared" si="64"/>
        <v>8849436</v>
      </c>
      <c r="K485" s="274">
        <f t="shared" si="64"/>
        <v>706990</v>
      </c>
      <c r="L485" s="274">
        <f t="shared" si="64"/>
        <v>8142446</v>
      </c>
    </row>
  </sheetData>
  <mergeCells count="72">
    <mergeCell ref="A378:C378"/>
    <mergeCell ref="A223:C223"/>
    <mergeCell ref="A36:C36"/>
    <mergeCell ref="A387:C387"/>
    <mergeCell ref="A367:C367"/>
    <mergeCell ref="A247:C247"/>
    <mergeCell ref="A341:C341"/>
    <mergeCell ref="A373:C373"/>
    <mergeCell ref="A333:C333"/>
    <mergeCell ref="A346:C346"/>
    <mergeCell ref="A337:C337"/>
    <mergeCell ref="A250:C250"/>
    <mergeCell ref="A292:C292"/>
    <mergeCell ref="A370:C370"/>
    <mergeCell ref="A351:C351"/>
    <mergeCell ref="A356:C356"/>
    <mergeCell ref="A213:C213"/>
    <mergeCell ref="A117:C117"/>
    <mergeCell ref="A207:C207"/>
    <mergeCell ref="A132:C132"/>
    <mergeCell ref="A194:C194"/>
    <mergeCell ref="A125:C125"/>
    <mergeCell ref="A191:C191"/>
    <mergeCell ref="A167:C167"/>
    <mergeCell ref="A281:C281"/>
    <mergeCell ref="A199:C199"/>
    <mergeCell ref="A128:C128"/>
    <mergeCell ref="A477:C477"/>
    <mergeCell ref="A392:C392"/>
    <mergeCell ref="A381:C381"/>
    <mergeCell ref="A441:C441"/>
    <mergeCell ref="A472:C472"/>
    <mergeCell ref="A398:C398"/>
    <mergeCell ref="A402:C402"/>
    <mergeCell ref="A456:C456"/>
    <mergeCell ref="A416:C416"/>
    <mergeCell ref="A462:C462"/>
    <mergeCell ref="A405:C405"/>
    <mergeCell ref="A445:C445"/>
    <mergeCell ref="A410:C410"/>
    <mergeCell ref="A1:C1"/>
    <mergeCell ref="A24:C24"/>
    <mergeCell ref="A285:C285"/>
    <mergeCell ref="A53:C53"/>
    <mergeCell ref="A242:C242"/>
    <mergeCell ref="A149:C149"/>
    <mergeCell ref="A29:C29"/>
    <mergeCell ref="A20:C20"/>
    <mergeCell ref="A81:C81"/>
    <mergeCell ref="A220:C220"/>
    <mergeCell ref="A216:C216"/>
    <mergeCell ref="A277:C277"/>
    <mergeCell ref="A94:C94"/>
    <mergeCell ref="A32:C32"/>
    <mergeCell ref="A139:C139"/>
    <mergeCell ref="A258:C258"/>
    <mergeCell ref="A235:C235"/>
    <mergeCell ref="A6:C6"/>
    <mergeCell ref="A85:C85"/>
    <mergeCell ref="A121:C121"/>
    <mergeCell ref="A49:C49"/>
    <mergeCell ref="A46:C46"/>
    <mergeCell ref="A40:C40"/>
    <mergeCell ref="A65:C65"/>
    <mergeCell ref="A69:C69"/>
    <mergeCell ref="A77:C77"/>
    <mergeCell ref="A229:C229"/>
    <mergeCell ref="A90:C90"/>
    <mergeCell ref="A163:C163"/>
    <mergeCell ref="A109:C109"/>
    <mergeCell ref="A203:C203"/>
    <mergeCell ref="A144:C144"/>
  </mergeCells>
  <phoneticPr fontId="30" type="noConversion"/>
  <printOptions gridLines="1"/>
  <pageMargins left="0.23622047244094491" right="0.23622047244094491" top="0.15748031496062992" bottom="0" header="0.31496062992125984" footer="0.31496062992125984"/>
  <pageSetup paperSize="9" scale="5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73"/>
  <sheetViews>
    <sheetView zoomScale="98" zoomScaleNormal="98" workbookViewId="0">
      <pane ySplit="2" topLeftCell="A3" activePane="bottomLeft" state="frozen"/>
      <selection pane="bottomLeft" activeCell="A28" sqref="A28"/>
    </sheetView>
  </sheetViews>
  <sheetFormatPr defaultColWidth="24.109375" defaultRowHeight="15.6" x14ac:dyDescent="0.3"/>
  <cols>
    <col min="1" max="1" width="37.33203125" style="522" customWidth="1"/>
    <col min="2" max="2" width="18" style="522" customWidth="1"/>
    <col min="3" max="3" width="15.33203125" style="524" customWidth="1"/>
    <col min="4" max="4" width="16.44140625" style="256" customWidth="1"/>
    <col min="5" max="5" width="16.6640625" style="256" customWidth="1"/>
    <col min="6" max="6" width="17.88671875" style="256" customWidth="1"/>
    <col min="7" max="7" width="15.109375" style="257" hidden="1" customWidth="1"/>
    <col min="8" max="8" width="13.5546875" style="258" hidden="1" customWidth="1"/>
    <col min="9" max="9" width="13.33203125" style="258" hidden="1" customWidth="1"/>
    <col min="10" max="10" width="18.6640625" style="258" customWidth="1"/>
    <col min="11" max="11" width="27.33203125" style="258" customWidth="1"/>
    <col min="12" max="12" width="0.5546875" style="258" hidden="1" customWidth="1"/>
    <col min="13" max="13" width="16.33203125" style="229" hidden="1" customWidth="1"/>
    <col min="14" max="14" width="18.5546875" style="261" customWidth="1"/>
    <col min="15" max="16384" width="24.109375" style="208"/>
  </cols>
  <sheetData>
    <row r="1" spans="1:14" s="223" customFormat="1" ht="54" customHeight="1" thickTop="1" thickBot="1" x14ac:dyDescent="0.4">
      <c r="A1" s="516" t="s">
        <v>599</v>
      </c>
      <c r="B1" s="516" t="s">
        <v>240</v>
      </c>
      <c r="C1" s="517" t="s">
        <v>190</v>
      </c>
      <c r="D1" s="495" t="s">
        <v>317</v>
      </c>
      <c r="E1" s="496" t="s">
        <v>189</v>
      </c>
      <c r="F1" s="497" t="s">
        <v>189</v>
      </c>
      <c r="G1" s="496" t="s">
        <v>214</v>
      </c>
      <c r="H1" s="496" t="s">
        <v>214</v>
      </c>
      <c r="I1" s="496" t="s">
        <v>214</v>
      </c>
      <c r="J1" s="496" t="s">
        <v>214</v>
      </c>
      <c r="K1" s="496" t="s">
        <v>537</v>
      </c>
      <c r="L1" s="496" t="s">
        <v>538</v>
      </c>
      <c r="M1" s="498" t="s">
        <v>539</v>
      </c>
      <c r="N1" s="495" t="s">
        <v>188</v>
      </c>
    </row>
    <row r="2" spans="1:14" ht="20.25" hidden="1" customHeight="1" thickTop="1" thickBot="1" x14ac:dyDescent="0.35">
      <c r="A2" s="518" t="e">
        <f>DAĞILIM!A1</f>
        <v>#REF!</v>
      </c>
      <c r="B2" s="519" t="e">
        <f>DAĞILIM!L5</f>
        <v>#REF!</v>
      </c>
      <c r="C2" s="513"/>
      <c r="D2" s="224"/>
      <c r="E2" s="224"/>
      <c r="F2" s="225"/>
      <c r="G2" s="226"/>
      <c r="H2" s="227"/>
      <c r="I2" s="227"/>
      <c r="J2" s="226"/>
      <c r="K2" s="226"/>
      <c r="L2" s="228"/>
      <c r="N2" s="230" t="e">
        <f>B2-C2-D2-E2-F2-G2-J2-#REF!-K2-L2-#REF!</f>
        <v>#REF!</v>
      </c>
    </row>
    <row r="3" spans="1:14" s="201" customFormat="1" ht="20.100000000000001" customHeight="1" thickTop="1" thickBot="1" x14ac:dyDescent="0.35">
      <c r="A3" s="518" t="str">
        <f>DAĞILIM!A6</f>
        <v>ADİL YILMAZ</v>
      </c>
      <c r="B3" s="519">
        <f>DAĞILIM!L18</f>
        <v>321112</v>
      </c>
      <c r="C3" s="520"/>
      <c r="D3" s="231"/>
      <c r="E3" s="231"/>
      <c r="F3" s="232"/>
      <c r="G3" s="233"/>
      <c r="H3" s="234"/>
      <c r="I3" s="235"/>
      <c r="J3" s="233"/>
      <c r="K3" s="233">
        <v>321112</v>
      </c>
      <c r="L3" s="235"/>
      <c r="M3" s="236"/>
      <c r="N3" s="237">
        <f>B3-C3-D3-E3-F3-G3-H3-I3-J3-K3-L3-M3</f>
        <v>0</v>
      </c>
    </row>
    <row r="4" spans="1:14" s="201" customFormat="1" ht="20.100000000000001" customHeight="1" thickTop="1" thickBot="1" x14ac:dyDescent="0.35">
      <c r="A4" s="521" t="str">
        <f>DAĞILIM!A20</f>
        <v>AHMET (ÖMER LÜTFÜ)ATABEK</v>
      </c>
      <c r="B4" s="237">
        <f>DAĞILIM!L23</f>
        <v>60500</v>
      </c>
      <c r="C4" s="520">
        <v>3592.0320000000002</v>
      </c>
      <c r="D4" s="238"/>
      <c r="E4" s="238"/>
      <c r="F4" s="239"/>
      <c r="G4" s="240"/>
      <c r="H4" s="234"/>
      <c r="I4" s="234"/>
      <c r="J4" s="240"/>
      <c r="K4" s="240">
        <v>56907.97</v>
      </c>
      <c r="L4" s="234"/>
      <c r="M4" s="236"/>
      <c r="N4" s="237">
        <f t="shared" ref="N4:N61" si="0">B4-C4-D4-E4-F4-G4-H4-I4-J4-K4-L4-M4</f>
        <v>-2.0000000004074536E-3</v>
      </c>
    </row>
    <row r="5" spans="1:14" s="201" customFormat="1" ht="20.100000000000001" customHeight="1" thickTop="1" thickBot="1" x14ac:dyDescent="0.35">
      <c r="A5" s="518" t="str">
        <f>DAĞILIM!A24</f>
        <v>AHMET CAN KAHVECİ</v>
      </c>
      <c r="B5" s="237">
        <f>DAĞILIM!L28</f>
        <v>49500</v>
      </c>
      <c r="C5" s="512"/>
      <c r="D5" s="238"/>
      <c r="E5" s="238"/>
      <c r="F5" s="239"/>
      <c r="G5" s="240"/>
      <c r="H5" s="234"/>
      <c r="I5" s="234"/>
      <c r="J5" s="240"/>
      <c r="K5" s="240">
        <v>49500</v>
      </c>
      <c r="L5" s="234"/>
      <c r="M5" s="236"/>
      <c r="N5" s="237">
        <f t="shared" si="0"/>
        <v>0</v>
      </c>
    </row>
    <row r="6" spans="1:14" s="201" customFormat="1" ht="20.100000000000001" customHeight="1" thickTop="1" thickBot="1" x14ac:dyDescent="0.35">
      <c r="A6" s="521" t="str">
        <f>DAĞILIM!A29</f>
        <v>ALİ BAHRİ DEMİR</v>
      </c>
      <c r="B6" s="237">
        <f>DAĞILIM!L31</f>
        <v>78375</v>
      </c>
      <c r="C6" s="512"/>
      <c r="D6" s="238"/>
      <c r="E6" s="238"/>
      <c r="F6" s="239"/>
      <c r="G6" s="240"/>
      <c r="H6" s="234"/>
      <c r="I6" s="234"/>
      <c r="J6" s="240"/>
      <c r="K6" s="240">
        <v>78375</v>
      </c>
      <c r="L6" s="234"/>
      <c r="M6" s="236"/>
      <c r="N6" s="237">
        <f t="shared" si="0"/>
        <v>0</v>
      </c>
    </row>
    <row r="7" spans="1:14" s="201" customFormat="1" ht="20.25" customHeight="1" thickTop="1" thickBot="1" x14ac:dyDescent="0.35">
      <c r="A7" s="518" t="str">
        <f>DAĞILIM!A32</f>
        <v>ALİCAN BAŞER</v>
      </c>
      <c r="B7" s="519">
        <f>DAĞILIM!L35</f>
        <v>68530</v>
      </c>
      <c r="C7" s="513"/>
      <c r="D7" s="231"/>
      <c r="E7" s="231"/>
      <c r="F7" s="232"/>
      <c r="G7" s="233"/>
      <c r="H7" s="234"/>
      <c r="I7" s="235"/>
      <c r="J7" s="233"/>
      <c r="K7" s="233">
        <v>68530</v>
      </c>
      <c r="L7" s="235"/>
      <c r="M7" s="236"/>
      <c r="N7" s="237">
        <f t="shared" si="0"/>
        <v>0</v>
      </c>
    </row>
    <row r="8" spans="1:14" s="201" customFormat="1" ht="20.100000000000001" customHeight="1" thickTop="1" thickBot="1" x14ac:dyDescent="0.35">
      <c r="A8" s="500" t="str">
        <f>DAĞILIM!A40</f>
        <v>ARDA ÖZKÖK FUAT YÜCE</v>
      </c>
      <c r="B8" s="473">
        <f>DAĞILIM!L44</f>
        <v>85800</v>
      </c>
      <c r="C8" s="514"/>
      <c r="D8" s="501"/>
      <c r="E8" s="501">
        <v>85800</v>
      </c>
      <c r="F8" s="505"/>
      <c r="G8" s="502"/>
      <c r="H8" s="504"/>
      <c r="I8" s="503"/>
      <c r="J8" s="502"/>
      <c r="K8" s="502"/>
      <c r="L8" s="503"/>
      <c r="M8" s="504"/>
      <c r="N8" s="473">
        <f t="shared" si="0"/>
        <v>0</v>
      </c>
    </row>
    <row r="9" spans="1:14" s="201" customFormat="1" ht="20.100000000000001" customHeight="1" thickTop="1" thickBot="1" x14ac:dyDescent="0.35">
      <c r="A9" s="521" t="str">
        <f>DAĞILIM!A46</f>
        <v>EROL ÖZTÜFEKÇİ</v>
      </c>
      <c r="B9" s="237">
        <f>DAĞILIM!L48</f>
        <v>46200</v>
      </c>
      <c r="C9" s="512"/>
      <c r="D9" s="238"/>
      <c r="E9" s="238"/>
      <c r="F9" s="239"/>
      <c r="G9" s="240"/>
      <c r="H9" s="236"/>
      <c r="I9" s="234"/>
      <c r="J9" s="240"/>
      <c r="K9" s="240">
        <v>46200</v>
      </c>
      <c r="L9" s="234"/>
      <c r="M9" s="236"/>
      <c r="N9" s="237">
        <f t="shared" si="0"/>
        <v>0</v>
      </c>
    </row>
    <row r="10" spans="1:14" s="201" customFormat="1" ht="20.100000000000001" customHeight="1" thickTop="1" thickBot="1" x14ac:dyDescent="0.35">
      <c r="A10" s="518" t="str">
        <f>DAĞILIM!A49</f>
        <v>BARIŞ(RIDVAN)İSLAM</v>
      </c>
      <c r="B10" s="519">
        <f>DAĞILIM!L52</f>
        <v>41580</v>
      </c>
      <c r="C10" s="512"/>
      <c r="D10" s="238"/>
      <c r="E10" s="238"/>
      <c r="F10" s="239"/>
      <c r="G10" s="240"/>
      <c r="H10" s="234"/>
      <c r="I10" s="234"/>
      <c r="J10" s="240"/>
      <c r="K10" s="240">
        <v>41580</v>
      </c>
      <c r="L10" s="234"/>
      <c r="M10" s="236"/>
      <c r="N10" s="237">
        <f t="shared" si="0"/>
        <v>0</v>
      </c>
    </row>
    <row r="11" spans="1:14" s="201" customFormat="1" ht="20.100000000000001" customHeight="1" thickTop="1" thickBot="1" x14ac:dyDescent="0.35">
      <c r="A11" s="518" t="str">
        <f>DAĞILIM!A53</f>
        <v>BAYRAM YILMAZ</v>
      </c>
      <c r="B11" s="519">
        <f>DAĞILIM!L64</f>
        <v>267091</v>
      </c>
      <c r="C11" s="520">
        <v>16164.143999999998</v>
      </c>
      <c r="D11" s="238">
        <v>7500</v>
      </c>
      <c r="E11" s="238"/>
      <c r="F11" s="239"/>
      <c r="G11" s="240"/>
      <c r="H11" s="234"/>
      <c r="I11" s="234"/>
      <c r="J11" s="240"/>
      <c r="K11" s="240">
        <v>243426.86</v>
      </c>
      <c r="L11" s="234"/>
      <c r="M11" s="236"/>
      <c r="N11" s="237">
        <f t="shared" si="0"/>
        <v>-3.999999986262992E-3</v>
      </c>
    </row>
    <row r="12" spans="1:14" s="201" customFormat="1" ht="20.100000000000001" customHeight="1" thickTop="1" thickBot="1" x14ac:dyDescent="0.35">
      <c r="A12" s="518" t="str">
        <f>DAĞILIM!A65</f>
        <v>BAYRAM YILMAZ</v>
      </c>
      <c r="B12" s="519">
        <f>DAĞILIM!L68</f>
        <v>66990</v>
      </c>
      <c r="C12" s="520">
        <v>2694.0240000000003</v>
      </c>
      <c r="D12" s="238"/>
      <c r="E12" s="238"/>
      <c r="F12" s="239"/>
      <c r="G12" s="240"/>
      <c r="H12" s="234"/>
      <c r="I12" s="234"/>
      <c r="J12" s="240"/>
      <c r="K12" s="240">
        <v>64295.98</v>
      </c>
      <c r="L12" s="234"/>
      <c r="M12" s="236"/>
      <c r="N12" s="237">
        <f t="shared" si="0"/>
        <v>-4.0000000008149073E-3</v>
      </c>
    </row>
    <row r="13" spans="1:14" s="201" customFormat="1" ht="20.100000000000001" customHeight="1" thickTop="1" thickBot="1" x14ac:dyDescent="0.35">
      <c r="A13" s="518" t="str">
        <f>DAĞILIM!A69</f>
        <v>BARIŞ YILMAZ</v>
      </c>
      <c r="B13" s="519">
        <f>DAĞILIM!L75</f>
        <v>45155</v>
      </c>
      <c r="C13" s="520"/>
      <c r="D13" s="238"/>
      <c r="E13" s="238"/>
      <c r="F13" s="238"/>
      <c r="G13" s="240"/>
      <c r="H13" s="234"/>
      <c r="I13" s="234"/>
      <c r="J13" s="240"/>
      <c r="K13" s="240">
        <v>45155</v>
      </c>
      <c r="L13" s="234"/>
      <c r="M13" s="236"/>
      <c r="N13" s="237">
        <f t="shared" si="0"/>
        <v>0</v>
      </c>
    </row>
    <row r="14" spans="1:14" s="201" customFormat="1" ht="19.2" customHeight="1" thickTop="1" thickBot="1" x14ac:dyDescent="0.35">
      <c r="A14" s="518" t="str">
        <f>DAĞILIM!A77</f>
        <v>CEVDET KARAGÜZEL</v>
      </c>
      <c r="B14" s="519">
        <f>DAĞILIM!L80</f>
        <v>47520</v>
      </c>
      <c r="C14" s="512"/>
      <c r="D14" s="238"/>
      <c r="E14" s="238"/>
      <c r="F14" s="239"/>
      <c r="G14" s="240"/>
      <c r="H14" s="234"/>
      <c r="I14" s="234"/>
      <c r="J14" s="240"/>
      <c r="K14" s="240">
        <v>47520</v>
      </c>
      <c r="L14" s="234"/>
      <c r="M14" s="236"/>
      <c r="N14" s="237">
        <f t="shared" si="0"/>
        <v>0</v>
      </c>
    </row>
    <row r="15" spans="1:14" s="201" customFormat="1" ht="20.100000000000001" customHeight="1" thickTop="1" thickBot="1" x14ac:dyDescent="0.35">
      <c r="A15" s="518" t="str">
        <f>DAĞILIM!A81</f>
        <v>HAMDİ ÖCAL  SAPANCA SEYAHAT</v>
      </c>
      <c r="B15" s="519">
        <f>DAĞILIM!L83</f>
        <v>73150</v>
      </c>
      <c r="C15" s="512"/>
      <c r="D15" s="238"/>
      <c r="E15" s="238"/>
      <c r="F15" s="239"/>
      <c r="G15" s="240"/>
      <c r="H15" s="234"/>
      <c r="I15" s="234"/>
      <c r="J15" s="240"/>
      <c r="K15" s="240">
        <v>73150</v>
      </c>
      <c r="L15" s="234"/>
      <c r="M15" s="236"/>
      <c r="N15" s="237">
        <f t="shared" si="0"/>
        <v>0</v>
      </c>
    </row>
    <row r="16" spans="1:14" s="201" customFormat="1" ht="20.100000000000001" customHeight="1" thickTop="1" thickBot="1" x14ac:dyDescent="0.35">
      <c r="A16" s="521" t="str">
        <f>DAĞILIM!A85</f>
        <v>HASAN KAPDAN</v>
      </c>
      <c r="B16" s="237">
        <f>DAĞILIM!L89</f>
        <v>114878.5</v>
      </c>
      <c r="C16" s="512"/>
      <c r="D16" s="238"/>
      <c r="E16" s="238"/>
      <c r="F16" s="239"/>
      <c r="G16" s="240"/>
      <c r="H16" s="234"/>
      <c r="I16" s="234"/>
      <c r="J16" s="240"/>
      <c r="K16" s="240">
        <v>114878.5</v>
      </c>
      <c r="L16" s="234"/>
      <c r="M16" s="236"/>
      <c r="N16" s="237">
        <f t="shared" si="0"/>
        <v>0</v>
      </c>
    </row>
    <row r="17" spans="1:14" s="201" customFormat="1" ht="20.100000000000001" customHeight="1" thickTop="1" thickBot="1" x14ac:dyDescent="0.35">
      <c r="A17" s="518" t="str">
        <f>DAĞILIM!A90</f>
        <v>ELİK TUR HANİFE ELİK</v>
      </c>
      <c r="B17" s="519">
        <f>DAĞILIM!L93</f>
        <v>37400</v>
      </c>
      <c r="C17" s="512"/>
      <c r="D17" s="238"/>
      <c r="E17" s="238"/>
      <c r="F17" s="239"/>
      <c r="G17" s="240"/>
      <c r="H17" s="234"/>
      <c r="I17" s="234"/>
      <c r="J17" s="240"/>
      <c r="K17" s="240">
        <v>37400</v>
      </c>
      <c r="L17" s="234"/>
      <c r="M17" s="236"/>
      <c r="N17" s="237">
        <f t="shared" si="0"/>
        <v>0</v>
      </c>
    </row>
    <row r="18" spans="1:14" s="201" customFormat="1" ht="20.100000000000001" customHeight="1" thickTop="1" thickBot="1" x14ac:dyDescent="0.35">
      <c r="A18" s="500" t="str">
        <f>DAĞILIM!A94</f>
        <v>EMİRCAN ÖZCAN KURT</v>
      </c>
      <c r="B18" s="473">
        <f>DAĞILIM!L107</f>
        <v>241440</v>
      </c>
      <c r="C18" s="514">
        <f>'[2]DIŞ ALIM'!$H$65</f>
        <v>65341.251950999998</v>
      </c>
      <c r="D18" s="501">
        <v>1500</v>
      </c>
      <c r="E18" s="501">
        <f>'[3]2-3-8'!$E$22</f>
        <v>150000</v>
      </c>
      <c r="F18" s="505">
        <v>115000</v>
      </c>
      <c r="G18" s="505"/>
      <c r="H18" s="505"/>
      <c r="I18" s="505"/>
      <c r="J18" s="502">
        <v>67000</v>
      </c>
      <c r="K18" s="502">
        <v>65000</v>
      </c>
      <c r="L18" s="234"/>
      <c r="M18" s="236"/>
      <c r="N18" s="499">
        <f>B18-C18-D18-E18-F18-G18-H18-I18-J18-K18-L18-M18</f>
        <v>-222401.25195100001</v>
      </c>
    </row>
    <row r="19" spans="1:14" s="201" customFormat="1" ht="20.100000000000001" customHeight="1" thickTop="1" thickBot="1" x14ac:dyDescent="0.35">
      <c r="A19" s="518" t="str">
        <f>DAĞILIM!A109</f>
        <v>YUNUS EMRE OCAK</v>
      </c>
      <c r="B19" s="519">
        <f>DAĞILIM!L115</f>
        <v>110605</v>
      </c>
      <c r="C19" s="512">
        <f>SUM('[2]DIŞ ALIM'!$H$79)</f>
        <v>5416.1704559999998</v>
      </c>
      <c r="D19" s="238"/>
      <c r="E19" s="238"/>
      <c r="F19" s="239"/>
      <c r="G19" s="240"/>
      <c r="H19" s="234"/>
      <c r="I19" s="234"/>
      <c r="J19" s="240"/>
      <c r="K19" s="219">
        <v>105188.83</v>
      </c>
      <c r="L19" s="234"/>
      <c r="M19" s="236"/>
      <c r="N19" s="237">
        <f>B19-C19-D19-E19-F19-G19-H19-I19-J19-K19-L19-M19</f>
        <v>-4.5599999430123717E-4</v>
      </c>
    </row>
    <row r="20" spans="1:14" s="201" customFormat="1" ht="20.100000000000001" customHeight="1" thickTop="1" thickBot="1" x14ac:dyDescent="0.35">
      <c r="A20" s="518" t="str">
        <f>DAĞILIM!A117</f>
        <v>ENES YILMAZ HASAN AKDAĞCI</v>
      </c>
      <c r="B20" s="519">
        <f>DAĞILIM!L120</f>
        <v>64680</v>
      </c>
      <c r="C20" s="520">
        <f>SUM('[2]DIŞ ALIM'!$H$74)</f>
        <v>2604.2232000000004</v>
      </c>
      <c r="D20" s="238"/>
      <c r="E20" s="238"/>
      <c r="F20" s="238"/>
      <c r="G20" s="240"/>
      <c r="H20" s="234"/>
      <c r="I20" s="234"/>
      <c r="J20" s="240"/>
      <c r="K20" s="240">
        <v>62075.78</v>
      </c>
      <c r="L20" s="234"/>
      <c r="M20" s="236"/>
      <c r="N20" s="237">
        <f t="shared" si="0"/>
        <v>-3.1999999991967343E-3</v>
      </c>
    </row>
    <row r="21" spans="1:14" s="201" customFormat="1" ht="20.100000000000001" customHeight="1" thickTop="1" thickBot="1" x14ac:dyDescent="0.35">
      <c r="A21" s="518" t="str">
        <f>DAĞILIM!A121</f>
        <v>ERMAN TUR İBRAHİM ERMAN</v>
      </c>
      <c r="B21" s="519">
        <f>DAĞILIM!L124</f>
        <v>25740</v>
      </c>
      <c r="C21" s="512"/>
      <c r="D21" s="238"/>
      <c r="E21" s="238"/>
      <c r="F21" s="239"/>
      <c r="G21" s="240"/>
      <c r="H21" s="234"/>
      <c r="I21" s="234"/>
      <c r="J21" s="240"/>
      <c r="K21" s="240">
        <v>25740</v>
      </c>
      <c r="L21" s="234"/>
      <c r="M21" s="236"/>
      <c r="N21" s="237">
        <f t="shared" si="0"/>
        <v>0</v>
      </c>
    </row>
    <row r="22" spans="1:14" s="201" customFormat="1" ht="20.100000000000001" customHeight="1" thickTop="1" thickBot="1" x14ac:dyDescent="0.35">
      <c r="A22" s="518" t="str">
        <f>DAĞILIM!A125</f>
        <v>FEYYAZ POLUMCU</v>
      </c>
      <c r="B22" s="519">
        <f>DAĞILIM!L127</f>
        <v>55440</v>
      </c>
      <c r="C22" s="512"/>
      <c r="D22" s="241"/>
      <c r="E22" s="238"/>
      <c r="F22" s="239"/>
      <c r="G22" s="240"/>
      <c r="H22" s="234"/>
      <c r="I22" s="234"/>
      <c r="J22" s="240"/>
      <c r="K22" s="240">
        <v>55440</v>
      </c>
      <c r="L22" s="234"/>
      <c r="M22" s="236"/>
      <c r="N22" s="237">
        <f t="shared" si="0"/>
        <v>0</v>
      </c>
    </row>
    <row r="23" spans="1:14" s="201" customFormat="1" ht="19.2" customHeight="1" thickTop="1" thickBot="1" x14ac:dyDescent="0.35">
      <c r="A23" s="519" t="str">
        <f>DAĞILIM!A128</f>
        <v>dursun YILMAZ ÖRCÜN</v>
      </c>
      <c r="B23" s="519">
        <f>DAĞILIM!L131</f>
        <v>63096</v>
      </c>
      <c r="C23" s="520">
        <v>15266.136</v>
      </c>
      <c r="D23" s="238"/>
      <c r="E23" s="238"/>
      <c r="F23" s="239"/>
      <c r="G23" s="240"/>
      <c r="H23" s="234"/>
      <c r="I23" s="234"/>
      <c r="J23" s="240"/>
      <c r="K23" s="240">
        <v>47829.86</v>
      </c>
      <c r="L23" s="234"/>
      <c r="M23" s="236"/>
      <c r="N23" s="237">
        <f t="shared" si="0"/>
        <v>4.0000000008149073E-3</v>
      </c>
    </row>
    <row r="24" spans="1:14" s="243" customFormat="1" ht="20.100000000000001" customHeight="1" thickTop="1" thickBot="1" x14ac:dyDescent="0.35">
      <c r="A24" s="518" t="str">
        <f>DAĞILIM!A132</f>
        <v>EYÜP ERDİ TÜREDİ</v>
      </c>
      <c r="B24" s="519">
        <f>DAĞILIM!L137</f>
        <v>149985</v>
      </c>
      <c r="C24" s="520"/>
      <c r="D24" s="238"/>
      <c r="E24" s="238"/>
      <c r="F24" s="238"/>
      <c r="G24" s="240"/>
      <c r="H24" s="234"/>
      <c r="I24" s="234"/>
      <c r="J24" s="240"/>
      <c r="K24" s="240">
        <v>149985</v>
      </c>
      <c r="L24" s="234"/>
      <c r="M24" s="242"/>
      <c r="N24" s="237">
        <f t="shared" si="0"/>
        <v>0</v>
      </c>
    </row>
    <row r="25" spans="1:14" s="201" customFormat="1" ht="20.100000000000001" customHeight="1" thickTop="1" thickBot="1" x14ac:dyDescent="0.35">
      <c r="A25" s="521" t="str">
        <f>DAĞILIM!C140</f>
        <v>EMEL ÖMER ÖNENÇ(otur butur)</v>
      </c>
      <c r="B25" s="237">
        <f>DAĞILIM!L142</f>
        <v>79200</v>
      </c>
      <c r="C25" s="512"/>
      <c r="D25" s="238">
        <f>'[3]01 TEMMUZ DEVAM'!$E$4</f>
        <v>11538.95</v>
      </c>
      <c r="E25" s="238"/>
      <c r="F25" s="238"/>
      <c r="G25" s="240"/>
      <c r="H25" s="234"/>
      <c r="I25" s="234"/>
      <c r="J25" s="240"/>
      <c r="K25" s="240">
        <v>67661.05</v>
      </c>
      <c r="L25" s="234"/>
      <c r="M25" s="236"/>
      <c r="N25" s="237">
        <f t="shared" si="0"/>
        <v>0</v>
      </c>
    </row>
    <row r="26" spans="1:14" s="322" customFormat="1" ht="20.100000000000001" customHeight="1" thickTop="1" thickBot="1" x14ac:dyDescent="0.35">
      <c r="A26" s="521" t="str">
        <f>DAĞILIM!A149</f>
        <v>FEHİM YALÇINKAYA</v>
      </c>
      <c r="B26" s="237">
        <f>DAĞILIM!L161</f>
        <v>401390</v>
      </c>
      <c r="C26" s="512"/>
      <c r="D26" s="244"/>
      <c r="E26" s="245"/>
      <c r="F26" s="245"/>
      <c r="G26" s="240"/>
      <c r="H26" s="234"/>
      <c r="I26" s="234"/>
      <c r="J26" s="240"/>
      <c r="K26" s="240">
        <v>401390</v>
      </c>
      <c r="L26" s="234"/>
      <c r="M26" s="245"/>
      <c r="N26" s="237">
        <f t="shared" si="0"/>
        <v>0</v>
      </c>
    </row>
    <row r="27" spans="1:14" s="201" customFormat="1" ht="20.100000000000001" customHeight="1" thickTop="1" thickBot="1" x14ac:dyDescent="0.35">
      <c r="A27" s="500" t="str">
        <f>DAĞILIM!A163</f>
        <v>FETİH AKTAŞ</v>
      </c>
      <c r="B27" s="473">
        <f>DAĞILIM!L165</f>
        <v>59400</v>
      </c>
      <c r="C27" s="514"/>
      <c r="D27" s="501"/>
      <c r="E27" s="501">
        <v>59400</v>
      </c>
      <c r="F27" s="501"/>
      <c r="G27" s="502"/>
      <c r="H27" s="503"/>
      <c r="I27" s="503"/>
      <c r="J27" s="502"/>
      <c r="K27" s="502"/>
      <c r="L27" s="503"/>
      <c r="M27" s="504"/>
      <c r="N27" s="473">
        <f t="shared" si="0"/>
        <v>0</v>
      </c>
    </row>
    <row r="28" spans="1:14" s="201" customFormat="1" ht="20.100000000000001" customHeight="1" thickTop="1" thickBot="1" x14ac:dyDescent="0.35">
      <c r="A28" s="518" t="str">
        <f>DAĞILIM!A167</f>
        <v>OSMAN GÖKHAN IŞIK</v>
      </c>
      <c r="B28" s="519">
        <f>DAĞILIM!L188</f>
        <v>664405.5</v>
      </c>
      <c r="C28" s="512"/>
      <c r="D28" s="238"/>
      <c r="E28" s="238">
        <v>100000</v>
      </c>
      <c r="F28" s="238"/>
      <c r="G28" s="240"/>
      <c r="H28" s="234"/>
      <c r="I28" s="234"/>
      <c r="J28" s="240">
        <v>64405</v>
      </c>
      <c r="K28" s="240">
        <v>500000</v>
      </c>
      <c r="L28" s="234"/>
      <c r="M28" s="236"/>
      <c r="N28" s="237">
        <f t="shared" si="0"/>
        <v>0.5</v>
      </c>
    </row>
    <row r="29" spans="1:14" s="201" customFormat="1" ht="20.100000000000001" customHeight="1" thickTop="1" thickBot="1" x14ac:dyDescent="0.35">
      <c r="A29" s="518" t="str">
        <f>DAĞILIM!A191</f>
        <v>GÜVEN TUR</v>
      </c>
      <c r="B29" s="519">
        <f>DAĞILIM!L193</f>
        <v>25740</v>
      </c>
      <c r="C29" s="512"/>
      <c r="D29" s="238"/>
      <c r="E29" s="238"/>
      <c r="F29" s="239"/>
      <c r="G29" s="240"/>
      <c r="H29" s="234"/>
      <c r="I29" s="234"/>
      <c r="J29" s="240"/>
      <c r="K29" s="240">
        <v>25740</v>
      </c>
      <c r="L29" s="234"/>
      <c r="M29" s="236"/>
      <c r="N29" s="237">
        <f t="shared" si="0"/>
        <v>0</v>
      </c>
    </row>
    <row r="30" spans="1:14" s="243" customFormat="1" ht="20.100000000000001" customHeight="1" thickTop="1" thickBot="1" x14ac:dyDescent="0.35">
      <c r="A30" s="518" t="str">
        <f>DAĞILIM!A194</f>
        <v>ÖMER DER</v>
      </c>
      <c r="B30" s="519">
        <f>DAĞILIM!L198</f>
        <v>55440</v>
      </c>
      <c r="C30" s="512"/>
      <c r="D30" s="238"/>
      <c r="E30" s="238"/>
      <c r="F30" s="239"/>
      <c r="G30" s="240"/>
      <c r="H30" s="234"/>
      <c r="I30" s="234"/>
      <c r="J30" s="240"/>
      <c r="K30" s="240">
        <v>55440</v>
      </c>
      <c r="L30" s="234"/>
      <c r="M30" s="242"/>
      <c r="N30" s="237">
        <f t="shared" si="0"/>
        <v>0</v>
      </c>
    </row>
    <row r="31" spans="1:14" s="201" customFormat="1" ht="20.100000000000001" customHeight="1" thickTop="1" thickBot="1" x14ac:dyDescent="0.35">
      <c r="A31" s="521" t="str">
        <f>DAĞILIM!A199</f>
        <v>HALİL BÜYÜKTANZİM</v>
      </c>
      <c r="B31" s="237">
        <f>DAĞILIM!L202</f>
        <v>73700</v>
      </c>
      <c r="C31" s="512"/>
      <c r="D31" s="238"/>
      <c r="E31" s="238"/>
      <c r="F31" s="239"/>
      <c r="G31" s="240"/>
      <c r="H31" s="234"/>
      <c r="I31" s="234"/>
      <c r="J31" s="240"/>
      <c r="K31" s="240">
        <v>73700</v>
      </c>
      <c r="L31" s="234"/>
      <c r="M31" s="236"/>
      <c r="N31" s="237">
        <f t="shared" si="0"/>
        <v>0</v>
      </c>
    </row>
    <row r="32" spans="1:14" s="201" customFormat="1" ht="20.100000000000001" customHeight="1" thickTop="1" thickBot="1" x14ac:dyDescent="0.35">
      <c r="A32" s="521" t="str">
        <f>DAĞILIM!A203</f>
        <v>HALİL BÜYÜKTANZİM</v>
      </c>
      <c r="B32" s="237">
        <f>DAĞILIM!L206</f>
        <v>35640</v>
      </c>
      <c r="C32" s="512"/>
      <c r="D32" s="238"/>
      <c r="E32" s="238"/>
      <c r="F32" s="239"/>
      <c r="G32" s="240"/>
      <c r="H32" s="234"/>
      <c r="I32" s="234"/>
      <c r="J32" s="240"/>
      <c r="K32" s="240">
        <v>35640</v>
      </c>
      <c r="L32" s="234"/>
      <c r="M32" s="236"/>
      <c r="N32" s="237">
        <f t="shared" si="0"/>
        <v>0</v>
      </c>
    </row>
    <row r="33" spans="1:14" s="243" customFormat="1" ht="20.100000000000001" customHeight="1" thickTop="1" thickBot="1" x14ac:dyDescent="0.35">
      <c r="A33" s="518" t="str">
        <f>DAĞILIM!A207</f>
        <v>İBRAHİM OKUMUŞ</v>
      </c>
      <c r="B33" s="519">
        <f>DAĞILIM!L210</f>
        <v>85140</v>
      </c>
      <c r="C33" s="512"/>
      <c r="D33" s="238"/>
      <c r="E33" s="238"/>
      <c r="F33" s="239"/>
      <c r="G33" s="240"/>
      <c r="H33" s="234"/>
      <c r="I33" s="234"/>
      <c r="J33" s="240"/>
      <c r="K33" s="240">
        <v>85140</v>
      </c>
      <c r="L33" s="234"/>
      <c r="M33" s="242"/>
      <c r="N33" s="237">
        <f t="shared" si="0"/>
        <v>0</v>
      </c>
    </row>
    <row r="34" spans="1:14" s="243" customFormat="1" ht="20.100000000000001" customHeight="1" thickTop="1" thickBot="1" x14ac:dyDescent="0.35">
      <c r="A34" s="521" t="str">
        <f>DAĞILIM!A213</f>
        <v>REMZİ HÜRREM DORUK</v>
      </c>
      <c r="B34" s="237">
        <f>DAĞILIM!L215</f>
        <v>23400</v>
      </c>
      <c r="C34" s="512"/>
      <c r="D34" s="246"/>
      <c r="E34" s="234"/>
      <c r="F34" s="246"/>
      <c r="G34" s="247"/>
      <c r="H34" s="220"/>
      <c r="I34" s="234"/>
      <c r="J34" s="240"/>
      <c r="K34" s="240">
        <v>23400</v>
      </c>
      <c r="L34" s="234"/>
      <c r="M34" s="242"/>
      <c r="N34" s="237">
        <f t="shared" si="0"/>
        <v>0</v>
      </c>
    </row>
    <row r="35" spans="1:14" s="201" customFormat="1" ht="20.100000000000001" customHeight="1" thickTop="1" thickBot="1" x14ac:dyDescent="0.35">
      <c r="A35" s="518" t="str">
        <f>DAĞILIM!A216</f>
        <v>GÖKHAN İBRAHİM AKKUŞ</v>
      </c>
      <c r="B35" s="519">
        <f>DAĞILIM!L219</f>
        <v>54230</v>
      </c>
      <c r="C35" s="512"/>
      <c r="D35" s="238"/>
      <c r="E35" s="238"/>
      <c r="F35" s="239"/>
      <c r="G35" s="240"/>
      <c r="H35" s="234"/>
      <c r="I35" s="234"/>
      <c r="J35" s="240"/>
      <c r="K35" s="240">
        <v>54230</v>
      </c>
      <c r="L35" s="234"/>
      <c r="M35" s="236"/>
      <c r="N35" s="237">
        <f t="shared" si="0"/>
        <v>0</v>
      </c>
    </row>
    <row r="36" spans="1:14" s="201" customFormat="1" ht="20.100000000000001" customHeight="1" thickTop="1" thickBot="1" x14ac:dyDescent="0.35">
      <c r="A36" s="518" t="str">
        <f>DAĞILIM!A220</f>
        <v>İBRAHİM DER</v>
      </c>
      <c r="B36" s="519">
        <f>DAĞILIM!L222</f>
        <v>47520</v>
      </c>
      <c r="C36" s="512"/>
      <c r="D36" s="238"/>
      <c r="E36" s="238"/>
      <c r="F36" s="239"/>
      <c r="G36" s="240"/>
      <c r="H36" s="234"/>
      <c r="I36" s="234"/>
      <c r="J36" s="240"/>
      <c r="K36" s="240">
        <v>47520</v>
      </c>
      <c r="L36" s="234"/>
      <c r="M36" s="236"/>
      <c r="N36" s="237">
        <f t="shared" si="0"/>
        <v>0</v>
      </c>
    </row>
    <row r="37" spans="1:14" s="201" customFormat="1" ht="20.100000000000001" customHeight="1" thickTop="1" thickBot="1" x14ac:dyDescent="0.35">
      <c r="A37" s="518" t="str">
        <f>DAĞILIM!A223</f>
        <v>İSMAİL AÇIKDENİZ</v>
      </c>
      <c r="B37" s="519">
        <f>DAĞILIM!L228</f>
        <v>112860</v>
      </c>
      <c r="C37" s="512"/>
      <c r="D37" s="238"/>
      <c r="E37" s="238"/>
      <c r="F37" s="239"/>
      <c r="G37" s="240"/>
      <c r="H37" s="234"/>
      <c r="I37" s="234"/>
      <c r="J37" s="240"/>
      <c r="K37" s="240">
        <v>112860</v>
      </c>
      <c r="L37" s="234"/>
      <c r="M37" s="236"/>
      <c r="N37" s="237">
        <f t="shared" si="0"/>
        <v>0</v>
      </c>
    </row>
    <row r="38" spans="1:14" s="201" customFormat="1" ht="20.100000000000001" customHeight="1" thickTop="1" thickBot="1" x14ac:dyDescent="0.35">
      <c r="A38" s="518" t="str">
        <f>DAĞILIM!A229</f>
        <v>KADİR TUNCEL TUNCEL TRZ</v>
      </c>
      <c r="B38" s="519">
        <f>DAĞILIM!L234</f>
        <v>87120</v>
      </c>
      <c r="C38" s="512"/>
      <c r="D38" s="238"/>
      <c r="E38" s="238"/>
      <c r="F38" s="239"/>
      <c r="G38" s="240"/>
      <c r="H38" s="234"/>
      <c r="I38" s="234"/>
      <c r="J38" s="240"/>
      <c r="K38" s="240">
        <v>87120</v>
      </c>
      <c r="L38" s="234"/>
      <c r="M38" s="236"/>
      <c r="N38" s="237">
        <f t="shared" si="0"/>
        <v>0</v>
      </c>
    </row>
    <row r="39" spans="1:14" s="201" customFormat="1" ht="20.100000000000001" customHeight="1" thickTop="1" thickBot="1" x14ac:dyDescent="0.35">
      <c r="A39" s="518" t="str">
        <f>DAĞILIM!A235</f>
        <v>MEHMET ANLAŞ</v>
      </c>
      <c r="B39" s="519">
        <f>DAĞILIM!L241</f>
        <v>177870</v>
      </c>
      <c r="C39" s="520"/>
      <c r="D39" s="238">
        <f>'[3]2-3-8'!$E$21</f>
        <v>100000</v>
      </c>
      <c r="E39" s="238">
        <v>25000</v>
      </c>
      <c r="F39" s="238"/>
      <c r="G39" s="240"/>
      <c r="H39" s="234"/>
      <c r="I39" s="234"/>
      <c r="J39" s="240"/>
      <c r="K39" s="240">
        <v>52870</v>
      </c>
      <c r="L39" s="234"/>
      <c r="M39" s="236"/>
      <c r="N39" s="237">
        <f t="shared" si="0"/>
        <v>0</v>
      </c>
    </row>
    <row r="40" spans="1:14" s="201" customFormat="1" ht="20.100000000000001" customHeight="1" thickTop="1" thickBot="1" x14ac:dyDescent="0.35">
      <c r="A40" s="521" t="str">
        <f>DAĞILIM!A242</f>
        <v>MEHMET ELLİİKİ</v>
      </c>
      <c r="B40" s="237">
        <f>DAĞILIM!L245</f>
        <v>26100</v>
      </c>
      <c r="C40" s="512"/>
      <c r="D40" s="238"/>
      <c r="E40" s="238"/>
      <c r="F40" s="238"/>
      <c r="G40" s="240"/>
      <c r="H40" s="222"/>
      <c r="I40" s="234"/>
      <c r="J40" s="240"/>
      <c r="K40" s="240">
        <v>26100</v>
      </c>
      <c r="L40" s="234"/>
      <c r="M40" s="236"/>
      <c r="N40" s="237">
        <f t="shared" si="0"/>
        <v>0</v>
      </c>
    </row>
    <row r="41" spans="1:14" s="201" customFormat="1" ht="20.100000000000001" customHeight="1" thickTop="1" thickBot="1" x14ac:dyDescent="0.35">
      <c r="A41" s="518" t="str">
        <f>DAĞILIM!A247</f>
        <v>NURİ ŞAHİN ESTUR LİVİN</v>
      </c>
      <c r="B41" s="519">
        <f>DAĞILIM!L249</f>
        <v>29700</v>
      </c>
      <c r="C41" s="512"/>
      <c r="D41" s="238"/>
      <c r="E41" s="238"/>
      <c r="F41" s="238"/>
      <c r="G41" s="240"/>
      <c r="H41" s="222"/>
      <c r="I41" s="234"/>
      <c r="J41" s="240"/>
      <c r="K41" s="240">
        <v>29700</v>
      </c>
      <c r="L41" s="234"/>
      <c r="M41" s="236"/>
      <c r="N41" s="237">
        <f t="shared" si="0"/>
        <v>0</v>
      </c>
    </row>
    <row r="42" spans="1:14" s="201" customFormat="1" ht="20.100000000000001" customHeight="1" thickTop="1" thickBot="1" x14ac:dyDescent="0.35">
      <c r="A42" s="518" t="str">
        <f>DAĞILIM!A258</f>
        <v>MEHMET AVAR</v>
      </c>
      <c r="B42" s="519">
        <f>DAĞILIM!L276</f>
        <v>556380</v>
      </c>
      <c r="C42" s="512"/>
      <c r="D42" s="238"/>
      <c r="E42" s="238"/>
      <c r="F42" s="238"/>
      <c r="G42" s="240"/>
      <c r="H42" s="222"/>
      <c r="I42" s="234"/>
      <c r="J42" s="240"/>
      <c r="K42" s="240">
        <v>556380</v>
      </c>
      <c r="L42" s="234"/>
      <c r="M42" s="236"/>
      <c r="N42" s="237">
        <f t="shared" si="0"/>
        <v>0</v>
      </c>
    </row>
    <row r="43" spans="1:14" s="201" customFormat="1" ht="20.100000000000001" customHeight="1" thickTop="1" thickBot="1" x14ac:dyDescent="0.35">
      <c r="A43" s="518" t="str">
        <f>DAĞILIM!A277</f>
        <v>MEHMET SERDAROĞLU</v>
      </c>
      <c r="B43" s="519">
        <f>DAĞILIM!L280</f>
        <v>57475</v>
      </c>
      <c r="C43" s="520"/>
      <c r="D43" s="238"/>
      <c r="E43" s="238"/>
      <c r="F43" s="238"/>
      <c r="G43" s="240"/>
      <c r="H43" s="222"/>
      <c r="I43" s="234"/>
      <c r="J43" s="240"/>
      <c r="K43" s="240">
        <v>57475</v>
      </c>
      <c r="L43" s="234"/>
      <c r="M43" s="236"/>
      <c r="N43" s="237">
        <f t="shared" si="0"/>
        <v>0</v>
      </c>
    </row>
    <row r="44" spans="1:14" s="201" customFormat="1" ht="20.100000000000001" customHeight="1" thickTop="1" thickBot="1" x14ac:dyDescent="0.35">
      <c r="A44" s="521" t="str">
        <f>DAĞILIM!A281</f>
        <v>MEHTAP ÖZCAN</v>
      </c>
      <c r="B44" s="237">
        <f>DAĞILIM!L284</f>
        <v>53460</v>
      </c>
      <c r="C44" s="520">
        <v>7184.0640000000003</v>
      </c>
      <c r="D44" s="238"/>
      <c r="E44" s="238"/>
      <c r="F44" s="238"/>
      <c r="G44" s="240"/>
      <c r="H44" s="220"/>
      <c r="I44" s="234"/>
      <c r="J44" s="240"/>
      <c r="K44" s="240">
        <v>46275</v>
      </c>
      <c r="L44" s="234"/>
      <c r="M44" s="236"/>
      <c r="N44" s="237">
        <f t="shared" si="0"/>
        <v>0.9360000000015134</v>
      </c>
    </row>
    <row r="45" spans="1:14" s="201" customFormat="1" ht="20.100000000000001" customHeight="1" thickTop="1" thickBot="1" x14ac:dyDescent="0.35">
      <c r="A45" s="518" t="str">
        <f>DAĞILIM!A285</f>
        <v>EMRAH ESEN</v>
      </c>
      <c r="B45" s="519">
        <f>DAĞILIM!L291</f>
        <v>112442</v>
      </c>
      <c r="C45" s="512"/>
      <c r="D45" s="238"/>
      <c r="E45" s="238"/>
      <c r="F45" s="238"/>
      <c r="G45" s="240"/>
      <c r="H45" s="222"/>
      <c r="I45" s="234"/>
      <c r="J45" s="240"/>
      <c r="K45" s="240">
        <v>112442</v>
      </c>
      <c r="L45" s="234"/>
      <c r="M45" s="236"/>
      <c r="N45" s="237">
        <f t="shared" si="0"/>
        <v>0</v>
      </c>
    </row>
    <row r="46" spans="1:14" s="201" customFormat="1" ht="20.100000000000001" customHeight="1" thickTop="1" thickBot="1" x14ac:dyDescent="0.35">
      <c r="A46" s="518" t="str">
        <f>DAĞILIM!A292</f>
        <v>MUSTAFA KARGÜZEL</v>
      </c>
      <c r="B46" s="519">
        <f>DAĞILIM!L332</f>
        <v>948090</v>
      </c>
      <c r="C46" s="512"/>
      <c r="D46" s="238"/>
      <c r="E46" s="238"/>
      <c r="F46" s="238"/>
      <c r="G46" s="240"/>
      <c r="H46" s="222"/>
      <c r="I46" s="234"/>
      <c r="J46" s="240">
        <v>948090</v>
      </c>
      <c r="K46" s="240"/>
      <c r="L46" s="234"/>
      <c r="M46" s="236"/>
      <c r="N46" s="237">
        <f t="shared" si="0"/>
        <v>0</v>
      </c>
    </row>
    <row r="47" spans="1:14" s="201" customFormat="1" ht="20.100000000000001" customHeight="1" thickTop="1" thickBot="1" x14ac:dyDescent="0.35">
      <c r="A47" s="521" t="str">
        <f>DAĞILIM!A333</f>
        <v>MUSTAFA ÖNAL</v>
      </c>
      <c r="B47" s="237">
        <f>DAĞILIM!L336</f>
        <v>55440</v>
      </c>
      <c r="C47" s="520"/>
      <c r="D47" s="238"/>
      <c r="E47" s="248"/>
      <c r="F47" s="248"/>
      <c r="G47" s="240"/>
      <c r="H47" s="222"/>
      <c r="I47" s="234"/>
      <c r="J47" s="240"/>
      <c r="K47" s="240">
        <v>55440</v>
      </c>
      <c r="L47" s="234"/>
      <c r="M47" s="236"/>
      <c r="N47" s="237">
        <f t="shared" si="0"/>
        <v>0</v>
      </c>
    </row>
    <row r="48" spans="1:14" s="243" customFormat="1" ht="20.100000000000001" customHeight="1" thickTop="1" thickBot="1" x14ac:dyDescent="0.35">
      <c r="A48" s="518" t="str">
        <f>DAĞILIM!A337</f>
        <v>MUSTAFA ÖZTÜRK</v>
      </c>
      <c r="B48" s="519">
        <f>DAĞILIM!L340</f>
        <v>47520</v>
      </c>
      <c r="C48" s="512"/>
      <c r="D48" s="238">
        <v>10000</v>
      </c>
      <c r="E48" s="238"/>
      <c r="F48" s="238"/>
      <c r="G48" s="240"/>
      <c r="H48" s="220"/>
      <c r="I48" s="234"/>
      <c r="J48" s="240"/>
      <c r="K48" s="240">
        <v>37520</v>
      </c>
      <c r="L48" s="234"/>
      <c r="M48" s="242"/>
      <c r="N48" s="237">
        <f t="shared" si="0"/>
        <v>0</v>
      </c>
    </row>
    <row r="49" spans="1:14" s="243" customFormat="1" ht="20.100000000000001" customHeight="1" thickTop="1" thickBot="1" x14ac:dyDescent="0.35">
      <c r="A49" s="518" t="str">
        <f>DAĞILIM!A341</f>
        <v>NEVZATÖZBAY</v>
      </c>
      <c r="B49" s="519">
        <f>DAĞILIM!L343</f>
        <v>23400</v>
      </c>
      <c r="C49" s="512"/>
      <c r="D49" s="238"/>
      <c r="E49" s="238"/>
      <c r="F49" s="238"/>
      <c r="G49" s="240"/>
      <c r="H49" s="222"/>
      <c r="I49" s="234"/>
      <c r="J49" s="240"/>
      <c r="K49" s="240">
        <v>23400</v>
      </c>
      <c r="L49" s="234"/>
      <c r="M49" s="242"/>
      <c r="N49" s="237">
        <f t="shared" si="0"/>
        <v>0</v>
      </c>
    </row>
    <row r="50" spans="1:14" s="201" customFormat="1" ht="20.100000000000001" customHeight="1" thickTop="1" thickBot="1" x14ac:dyDescent="0.35">
      <c r="A50" s="518" t="str">
        <f>DAĞILIM!A351</f>
        <v>RAMAZAN MERVE YILMAZ</v>
      </c>
      <c r="B50" s="519">
        <f>DAĞILIM!L354</f>
        <v>66550</v>
      </c>
      <c r="C50" s="512"/>
      <c r="D50" s="238"/>
      <c r="E50" s="238"/>
      <c r="F50" s="238"/>
      <c r="G50" s="240"/>
      <c r="H50" s="222"/>
      <c r="I50" s="234"/>
      <c r="J50" s="240"/>
      <c r="K50" s="240">
        <v>66550</v>
      </c>
      <c r="L50" s="234"/>
      <c r="M50" s="236"/>
      <c r="N50" s="237">
        <f t="shared" si="0"/>
        <v>0</v>
      </c>
    </row>
    <row r="51" spans="1:14" s="201" customFormat="1" ht="20.100000000000001" customHeight="1" thickTop="1" thickBot="1" x14ac:dyDescent="0.35">
      <c r="A51" s="518" t="str">
        <f>DAĞILIM!A356</f>
        <v>RAMİS HAKAN GÜMÜŞ</v>
      </c>
      <c r="B51" s="519">
        <f>DAĞILIM!L364</f>
        <v>208879</v>
      </c>
      <c r="C51" s="520"/>
      <c r="D51" s="244"/>
      <c r="E51" s="238"/>
      <c r="F51" s="238"/>
      <c r="G51" s="240"/>
      <c r="H51" s="220"/>
      <c r="I51" s="234"/>
      <c r="J51" s="240"/>
      <c r="K51" s="240">
        <v>208879</v>
      </c>
      <c r="L51" s="234"/>
      <c r="M51" s="236"/>
      <c r="N51" s="237">
        <f t="shared" si="0"/>
        <v>0</v>
      </c>
    </row>
    <row r="52" spans="1:14" s="201" customFormat="1" ht="20.100000000000001" customHeight="1" thickTop="1" thickBot="1" x14ac:dyDescent="0.35">
      <c r="A52" s="518" t="str">
        <f>DAĞILIM!A367</f>
        <v>SAFFET DİN</v>
      </c>
      <c r="B52" s="519">
        <f>DAĞILIM!L369</f>
        <v>41470</v>
      </c>
      <c r="C52" s="512"/>
      <c r="D52" s="238"/>
      <c r="E52" s="238"/>
      <c r="F52" s="238"/>
      <c r="G52" s="240"/>
      <c r="H52" s="222"/>
      <c r="I52" s="234"/>
      <c r="J52" s="240"/>
      <c r="K52" s="240">
        <v>41470</v>
      </c>
      <c r="L52" s="234"/>
      <c r="M52" s="236"/>
      <c r="N52" s="237">
        <f t="shared" si="0"/>
        <v>0</v>
      </c>
    </row>
    <row r="53" spans="1:14" s="201" customFormat="1" ht="20.100000000000001" customHeight="1" thickTop="1" thickBot="1" x14ac:dyDescent="0.35">
      <c r="A53" s="521" t="str">
        <f>DAĞILIM!A370</f>
        <v>SEFA ÖZPİLAVCI</v>
      </c>
      <c r="B53" s="237">
        <f>DAĞILIM!L372</f>
        <v>35640</v>
      </c>
      <c r="C53" s="512"/>
      <c r="D53" s="234"/>
      <c r="E53" s="234"/>
      <c r="F53" s="234"/>
      <c r="G53" s="240"/>
      <c r="H53" s="221"/>
      <c r="I53" s="234"/>
      <c r="J53" s="240"/>
      <c r="K53" s="240">
        <v>35640</v>
      </c>
      <c r="L53" s="234"/>
      <c r="M53" s="236"/>
      <c r="N53" s="237">
        <f t="shared" si="0"/>
        <v>0</v>
      </c>
    </row>
    <row r="54" spans="1:14" s="201" customFormat="1" ht="20.100000000000001" customHeight="1" thickTop="1" thickBot="1" x14ac:dyDescent="0.35">
      <c r="A54" s="521" t="str">
        <f>DAĞILIM!A373</f>
        <v>SALİH ÖZTAŞ</v>
      </c>
      <c r="B54" s="237">
        <f>DAĞILIM!L377</f>
        <v>32400</v>
      </c>
      <c r="C54" s="512"/>
      <c r="D54" s="238"/>
      <c r="E54" s="238"/>
      <c r="F54" s="238"/>
      <c r="G54" s="240"/>
      <c r="H54" s="222"/>
      <c r="I54" s="234"/>
      <c r="J54" s="240"/>
      <c r="K54" s="240">
        <v>32400</v>
      </c>
      <c r="L54" s="234"/>
      <c r="M54" s="236"/>
      <c r="N54" s="237">
        <f t="shared" si="0"/>
        <v>0</v>
      </c>
    </row>
    <row r="55" spans="1:14" s="201" customFormat="1" ht="20.100000000000001" customHeight="1" thickTop="1" thickBot="1" x14ac:dyDescent="0.35">
      <c r="A55" s="518" t="str">
        <f>DAĞILIM!A378</f>
        <v>SAMET ERİŞİR</v>
      </c>
      <c r="B55" s="519">
        <f>DAĞILIM!L380</f>
        <v>41040</v>
      </c>
      <c r="C55" s="512"/>
      <c r="D55" s="238"/>
      <c r="E55" s="238"/>
      <c r="F55" s="238"/>
      <c r="G55" s="240"/>
      <c r="H55" s="220"/>
      <c r="I55" s="234"/>
      <c r="J55" s="240"/>
      <c r="K55" s="240">
        <v>41040</v>
      </c>
      <c r="L55" s="234"/>
      <c r="M55" s="236"/>
      <c r="N55" s="237">
        <f t="shared" si="0"/>
        <v>0</v>
      </c>
    </row>
    <row r="56" spans="1:14" s="201" customFormat="1" ht="20.100000000000001" customHeight="1" thickTop="1" thickBot="1" x14ac:dyDescent="0.35">
      <c r="A56" s="521" t="str">
        <f>DAĞILIM!A381</f>
        <v>SERCAN AVCI</v>
      </c>
      <c r="B56" s="237">
        <f>DAĞILIM!L385</f>
        <v>159280</v>
      </c>
      <c r="C56" s="512"/>
      <c r="D56" s="238"/>
      <c r="E56" s="238"/>
      <c r="F56" s="238"/>
      <c r="G56" s="240"/>
      <c r="H56" s="222"/>
      <c r="I56" s="234"/>
      <c r="J56" s="240"/>
      <c r="K56" s="240">
        <v>159280</v>
      </c>
      <c r="L56" s="234"/>
      <c r="M56" s="236"/>
      <c r="N56" s="237">
        <f t="shared" si="0"/>
        <v>0</v>
      </c>
    </row>
    <row r="57" spans="1:14" s="201" customFormat="1" ht="20.100000000000001" customHeight="1" thickTop="1" thickBot="1" x14ac:dyDescent="0.35">
      <c r="A57" s="521" t="str">
        <f>DAĞILIM!A387</f>
        <v>SERHAT TURAN   TURAN TUR</v>
      </c>
      <c r="B57" s="237">
        <f>DAĞILIM!L391</f>
        <v>40040</v>
      </c>
      <c r="C57" s="512"/>
      <c r="D57" s="238"/>
      <c r="E57" s="238"/>
      <c r="F57" s="238"/>
      <c r="G57" s="240"/>
      <c r="H57" s="222"/>
      <c r="I57" s="234"/>
      <c r="J57" s="249"/>
      <c r="K57" s="240">
        <v>40040</v>
      </c>
      <c r="L57" s="234"/>
      <c r="M57" s="236"/>
      <c r="N57" s="237">
        <f t="shared" si="0"/>
        <v>0</v>
      </c>
    </row>
    <row r="58" spans="1:14" s="201" customFormat="1" ht="20.100000000000001" customHeight="1" thickTop="1" thickBot="1" x14ac:dyDescent="0.35">
      <c r="A58" s="521" t="str">
        <f>DAĞILIM!A392</f>
        <v>ESMER ATAK :(SERKAN AKKOYUN)</v>
      </c>
      <c r="B58" s="237">
        <f>DAĞILIM!L397</f>
        <v>26675</v>
      </c>
      <c r="C58" s="520">
        <f>SUM('[2]DIŞ ALIM'!$H$84)</f>
        <v>3749.7570240000005</v>
      </c>
      <c r="D58" s="250"/>
      <c r="E58" s="234"/>
      <c r="F58" s="234"/>
      <c r="G58" s="240"/>
      <c r="H58" s="221"/>
      <c r="I58" s="234"/>
      <c r="J58" s="240"/>
      <c r="K58" s="240">
        <v>22925.24</v>
      </c>
      <c r="L58" s="234"/>
      <c r="M58" s="236"/>
      <c r="N58" s="237">
        <f t="shared" si="0"/>
        <v>2.9759999997622799E-3</v>
      </c>
    </row>
    <row r="59" spans="1:14" s="201" customFormat="1" ht="20.100000000000001" customHeight="1" thickTop="1" thickBot="1" x14ac:dyDescent="0.35">
      <c r="A59" s="521" t="str">
        <f>DAĞILIM!A398</f>
        <v>SERKAN KASAP</v>
      </c>
      <c r="B59" s="237">
        <f>DAĞILIM!L401</f>
        <v>172425</v>
      </c>
      <c r="C59" s="512"/>
      <c r="D59" s="238"/>
      <c r="E59" s="238"/>
      <c r="F59" s="238"/>
      <c r="G59" s="240"/>
      <c r="H59" s="222"/>
      <c r="I59" s="234"/>
      <c r="J59" s="240"/>
      <c r="K59" s="240">
        <v>172425</v>
      </c>
      <c r="L59" s="234"/>
      <c r="M59" s="236"/>
      <c r="N59" s="237">
        <f t="shared" si="0"/>
        <v>0</v>
      </c>
    </row>
    <row r="60" spans="1:14" s="201" customFormat="1" ht="20.100000000000001" customHeight="1" thickTop="1" thickBot="1" x14ac:dyDescent="0.35">
      <c r="A60" s="518" t="str">
        <f>DAĞILIM!A402</f>
        <v>ŞABAN ŞİRİN</v>
      </c>
      <c r="B60" s="519">
        <f>DAĞILIM!L404</f>
        <v>67925</v>
      </c>
      <c r="C60" s="515"/>
      <c r="D60" s="238"/>
      <c r="E60" s="238"/>
      <c r="F60" s="244"/>
      <c r="G60" s="240"/>
      <c r="H60" s="234"/>
      <c r="I60" s="234"/>
      <c r="J60" s="240"/>
      <c r="K60" s="240">
        <v>67925</v>
      </c>
      <c r="L60" s="234"/>
      <c r="M60" s="236"/>
      <c r="N60" s="237">
        <f t="shared" si="0"/>
        <v>0</v>
      </c>
    </row>
    <row r="61" spans="1:14" s="201" customFormat="1" ht="20.100000000000001" customHeight="1" thickTop="1" thickBot="1" x14ac:dyDescent="0.35">
      <c r="A61" s="518" t="str">
        <f>DAĞILIM!A405</f>
        <v>ŞAHİNLER ARZU DİNDAROĞLU</v>
      </c>
      <c r="B61" s="519">
        <f>DAĞILIM!L408</f>
        <v>25740</v>
      </c>
      <c r="C61" s="512"/>
      <c r="D61" s="238"/>
      <c r="E61" s="238"/>
      <c r="F61" s="238"/>
      <c r="G61" s="240"/>
      <c r="H61" s="234"/>
      <c r="I61" s="234"/>
      <c r="J61" s="240"/>
      <c r="K61" s="240">
        <v>25740</v>
      </c>
      <c r="L61" s="234"/>
      <c r="M61" s="236"/>
      <c r="N61" s="237">
        <f t="shared" si="0"/>
        <v>0</v>
      </c>
    </row>
    <row r="62" spans="1:14" s="201" customFormat="1" ht="20.100000000000001" customHeight="1" thickTop="1" thickBot="1" x14ac:dyDescent="0.35">
      <c r="A62" s="518" t="str">
        <f>DAĞILIM!A410</f>
        <v>FATİH ARI TUNCAY GÖKTAŞ</v>
      </c>
      <c r="B62" s="519">
        <f>DAĞILIM!L415</f>
        <v>148533</v>
      </c>
      <c r="C62" s="512"/>
      <c r="D62" s="238"/>
      <c r="E62" s="238"/>
      <c r="F62" s="238"/>
      <c r="G62" s="240"/>
      <c r="H62" s="234"/>
      <c r="I62" s="234"/>
      <c r="J62" s="240"/>
      <c r="K62" s="240">
        <v>148533</v>
      </c>
      <c r="L62" s="234"/>
      <c r="M62" s="236"/>
      <c r="N62" s="237">
        <f t="shared" ref="N62:N68" si="1">B62-C62-D62-E62-F62-G62-H62-I62-J62-K62-L62-M62</f>
        <v>0</v>
      </c>
    </row>
    <row r="63" spans="1:14" s="201" customFormat="1" ht="20.100000000000001" customHeight="1" thickTop="1" thickBot="1" x14ac:dyDescent="0.35">
      <c r="A63" s="521" t="str">
        <f>DAĞILIM!A416</f>
        <v>UFUK KÖYMEN</v>
      </c>
      <c r="B63" s="237">
        <f>DAĞILIM!L439</f>
        <v>539385</v>
      </c>
      <c r="C63" s="512">
        <f>SUM('[2]DIŞ ALIM'!$H$72)</f>
        <v>14788.55775</v>
      </c>
      <c r="D63" s="238">
        <v>4500</v>
      </c>
      <c r="E63" s="248">
        <f>'[3]2-3-8'!$E$23</f>
        <v>150000</v>
      </c>
      <c r="F63" s="248">
        <v>250000</v>
      </c>
      <c r="G63" s="240"/>
      <c r="H63" s="221"/>
      <c r="I63" s="234"/>
      <c r="J63" s="240"/>
      <c r="K63" s="240">
        <v>120096.44</v>
      </c>
      <c r="L63" s="234"/>
      <c r="M63" s="236"/>
      <c r="N63" s="237">
        <f t="shared" si="1"/>
        <v>2.2499999613501132E-3</v>
      </c>
    </row>
    <row r="64" spans="1:14" s="201" customFormat="1" ht="20.100000000000001" customHeight="1" thickTop="1" thickBot="1" x14ac:dyDescent="0.35">
      <c r="A64" s="518" t="str">
        <f>DAĞILIM!A441</f>
        <v>UGUR ERGEZEN</v>
      </c>
      <c r="B64" s="519">
        <f>DAĞILIM!L444</f>
        <v>32670</v>
      </c>
      <c r="C64" s="520"/>
      <c r="D64" s="238"/>
      <c r="E64" s="238"/>
      <c r="F64" s="238"/>
      <c r="G64" s="240"/>
      <c r="H64" s="220"/>
      <c r="I64" s="234"/>
      <c r="J64" s="240"/>
      <c r="K64" s="240">
        <v>32670</v>
      </c>
      <c r="L64" s="234"/>
      <c r="M64" s="236"/>
      <c r="N64" s="237">
        <f t="shared" si="1"/>
        <v>0</v>
      </c>
    </row>
    <row r="65" spans="1:14" s="201" customFormat="1" ht="20.100000000000001" customHeight="1" thickTop="1" thickBot="1" x14ac:dyDescent="0.35">
      <c r="A65" s="518" t="str">
        <f>DAĞILIM!A445</f>
        <v>UGUR BENLİ</v>
      </c>
      <c r="B65" s="519">
        <f>DAĞILIM!L454</f>
        <v>166078</v>
      </c>
      <c r="C65" s="512"/>
      <c r="D65" s="238"/>
      <c r="E65" s="238"/>
      <c r="F65" s="238"/>
      <c r="G65" s="240"/>
      <c r="H65" s="222"/>
      <c r="I65" s="234"/>
      <c r="J65" s="240"/>
      <c r="K65" s="240">
        <v>166078</v>
      </c>
      <c r="L65" s="234"/>
      <c r="M65" s="236"/>
      <c r="N65" s="237">
        <f t="shared" si="1"/>
        <v>0</v>
      </c>
    </row>
    <row r="66" spans="1:14" s="201" customFormat="1" ht="20.100000000000001" customHeight="1" thickTop="1" thickBot="1" x14ac:dyDescent="0.35">
      <c r="A66" s="518" t="str">
        <f>DAĞILIM!A456</f>
        <v>VEYSEL KARATAŞ</v>
      </c>
      <c r="B66" s="519">
        <f>DAĞILIM!L460</f>
        <v>52305</v>
      </c>
      <c r="C66" s="512"/>
      <c r="D66" s="238"/>
      <c r="E66" s="238"/>
      <c r="F66" s="238"/>
      <c r="G66" s="240"/>
      <c r="H66" s="222"/>
      <c r="I66" s="234"/>
      <c r="J66" s="240"/>
      <c r="K66" s="240">
        <v>52305</v>
      </c>
      <c r="L66" s="234"/>
      <c r="M66" s="236"/>
      <c r="N66" s="237">
        <f t="shared" si="1"/>
        <v>0</v>
      </c>
    </row>
    <row r="67" spans="1:14" s="201" customFormat="1" ht="20.100000000000001" customHeight="1" thickTop="1" thickBot="1" x14ac:dyDescent="0.35">
      <c r="A67" s="518" t="str">
        <f>DAĞILIM!A462</f>
        <v>YALÇIN DAMAR</v>
      </c>
      <c r="B67" s="519">
        <f>DAĞILIM!L470</f>
        <v>106425</v>
      </c>
      <c r="C67" s="512"/>
      <c r="D67" s="238"/>
      <c r="E67" s="238"/>
      <c r="F67" s="238"/>
      <c r="G67" s="240"/>
      <c r="H67" s="222"/>
      <c r="I67" s="234"/>
      <c r="J67" s="240"/>
      <c r="K67" s="240">
        <v>106425</v>
      </c>
      <c r="L67" s="234"/>
      <c r="M67" s="236"/>
      <c r="N67" s="237">
        <f t="shared" si="1"/>
        <v>0</v>
      </c>
    </row>
    <row r="68" spans="1:14" s="201" customFormat="1" ht="20.100000000000001" customHeight="1" thickTop="1" thickBot="1" x14ac:dyDescent="0.35">
      <c r="A68" s="521" t="str">
        <f>DAĞILIM!A477</f>
        <v>YILDIRIM KARDEŞLER</v>
      </c>
      <c r="B68" s="237">
        <f>DAĞILIM!L483</f>
        <v>171156</v>
      </c>
      <c r="C68" s="512"/>
      <c r="D68" s="238"/>
      <c r="E68" s="238"/>
      <c r="F68" s="238"/>
      <c r="G68" s="240"/>
      <c r="H68" s="222"/>
      <c r="I68" s="234"/>
      <c r="J68" s="240"/>
      <c r="K68" s="240">
        <v>171156</v>
      </c>
      <c r="L68" s="234"/>
      <c r="M68" s="236"/>
      <c r="N68" s="237">
        <f t="shared" si="1"/>
        <v>0</v>
      </c>
    </row>
    <row r="69" spans="1:14" ht="20.100000000000001" customHeight="1" thickTop="1" thickBot="1" x14ac:dyDescent="0.5">
      <c r="A69" s="522" t="s">
        <v>171</v>
      </c>
      <c r="B69" s="523">
        <f>SUM(B3:B68)</f>
        <v>8142446</v>
      </c>
      <c r="C69" s="512">
        <f t="shared" ref="C69:L69" si="2">SUM(C2:C68)</f>
        <v>136800.36038100001</v>
      </c>
      <c r="D69" s="251">
        <f t="shared" si="2"/>
        <v>135038.95000000001</v>
      </c>
      <c r="E69" s="252">
        <f t="shared" si="2"/>
        <v>570200</v>
      </c>
      <c r="F69" s="251">
        <f t="shared" si="2"/>
        <v>365000</v>
      </c>
      <c r="G69" s="253">
        <f t="shared" si="2"/>
        <v>0</v>
      </c>
      <c r="H69" s="237">
        <f t="shared" si="2"/>
        <v>0</v>
      </c>
      <c r="I69" s="237">
        <f t="shared" si="2"/>
        <v>0</v>
      </c>
      <c r="J69" s="253">
        <f t="shared" si="2"/>
        <v>1079495</v>
      </c>
      <c r="K69" s="254">
        <f t="shared" si="2"/>
        <v>6078311.5100000007</v>
      </c>
      <c r="L69" s="254">
        <f t="shared" si="2"/>
        <v>0</v>
      </c>
      <c r="M69" s="255">
        <f>SUM(M3:M68)</f>
        <v>0</v>
      </c>
      <c r="N69" s="254">
        <f>SUM(N3:N68)</f>
        <v>-222399.82038100009</v>
      </c>
    </row>
    <row r="70" spans="1:14" ht="18.600000000000001" thickTop="1" thickBot="1" x14ac:dyDescent="0.5">
      <c r="A70" s="522" t="s">
        <v>261</v>
      </c>
      <c r="B70" s="523">
        <f>DAĞILIM!K485</f>
        <v>706990</v>
      </c>
      <c r="C70" s="524">
        <f>'[2]DIŞ ALIM'!$H$77</f>
        <v>2095.1162760000002</v>
      </c>
      <c r="D70" s="256" t="s">
        <v>606</v>
      </c>
      <c r="J70" s="257"/>
      <c r="K70" s="259">
        <v>10000</v>
      </c>
      <c r="N70" s="506">
        <f>B70</f>
        <v>706990</v>
      </c>
    </row>
    <row r="71" spans="1:14" ht="18.600000000000001" thickTop="1" thickBot="1" x14ac:dyDescent="0.5">
      <c r="A71" s="522" t="s">
        <v>294</v>
      </c>
      <c r="B71" s="523">
        <f>SUM(B69:B70)</f>
        <v>8849436</v>
      </c>
      <c r="C71" s="524">
        <f>'[2]DIŞ ALIM'!$H$81</f>
        <v>1552.7257679999998</v>
      </c>
      <c r="D71" s="256" t="s">
        <v>607</v>
      </c>
      <c r="N71" s="506">
        <f>SUM(N69:N70)</f>
        <v>484590.17961899994</v>
      </c>
    </row>
    <row r="72" spans="1:14" ht="15.6" customHeight="1" thickTop="1" thickBot="1" x14ac:dyDescent="0.35">
      <c r="C72" s="524">
        <f>'[3]YENİ AY'!$E$11</f>
        <v>16164.143999999998</v>
      </c>
      <c r="D72" s="256" t="s">
        <v>608</v>
      </c>
      <c r="L72" s="260">
        <f>K69+L69+L70</f>
        <v>6078311.5100000007</v>
      </c>
      <c r="N72" s="507"/>
    </row>
    <row r="73" spans="1:14" ht="16.2" thickTop="1" x14ac:dyDescent="0.3">
      <c r="C73" s="524">
        <f>SUM(C69:C72)</f>
        <v>156612.346425</v>
      </c>
    </row>
  </sheetData>
  <sortState xmlns:xlrd2="http://schemas.microsoft.com/office/spreadsheetml/2017/richdata2" ref="A2:G60">
    <sortCondition ref="A2"/>
  </sortState>
  <dataValidations count="1">
    <dataValidation type="decimal" errorStyle="warning" allowBlank="1" showInputMessage="1" showErrorMessage="1" errorTitle="Havale-EFT" error="Lütfen havale / EFT tutarını giriniz" promptTitle="havale-EFT" prompt="Lütfen havale / EFT tutarını giriniz" sqref="G34:H34 K19 H44 H47:H48 H51:H52 H55 H58 H64" xr:uid="{00000000-0002-0000-0300-000000000000}">
      <formula1>0.01</formula1>
      <formula2>99999999999999</formula2>
    </dataValidation>
  </dataValidations>
  <pageMargins left="0.78740157480314965" right="0.39370078740157483" top="0" bottom="0" header="0.31496062992125984" footer="0.31496062992125984"/>
  <pageSetup paperSize="9" scale="53" fitToWidth="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J400"/>
  <sheetViews>
    <sheetView topLeftCell="A112" workbookViewId="0">
      <selection activeCell="B121" sqref="B121"/>
    </sheetView>
  </sheetViews>
  <sheetFormatPr defaultColWidth="9.109375" defaultRowHeight="16.8" x14ac:dyDescent="0.3"/>
  <cols>
    <col min="1" max="1" width="17.6640625" style="331" customWidth="1"/>
    <col min="2" max="2" width="40" style="339" customWidth="1"/>
    <col min="3" max="3" width="26.33203125" style="354" customWidth="1"/>
    <col min="4" max="4" width="25.5546875" style="354" customWidth="1"/>
    <col min="5" max="5" width="25.6640625" style="354" customWidth="1"/>
    <col min="6" max="7" width="9.109375" style="331"/>
    <col min="8" max="8" width="23.44140625" style="365" bestFit="1" customWidth="1"/>
    <col min="9" max="9" width="15.6640625" style="365" customWidth="1"/>
    <col min="10" max="10" width="18.33203125" style="365" bestFit="1" customWidth="1"/>
    <col min="11" max="16384" width="9.109375" style="331"/>
  </cols>
  <sheetData>
    <row r="1" spans="2:10" s="326" customFormat="1" ht="21" customHeight="1" thickTop="1" thickBot="1" x14ac:dyDescent="0.35">
      <c r="B1" s="324" t="s">
        <v>29</v>
      </c>
      <c r="C1" s="325" t="s">
        <v>30</v>
      </c>
      <c r="D1" s="325" t="s">
        <v>31</v>
      </c>
      <c r="E1" s="325" t="s">
        <v>32</v>
      </c>
      <c r="H1" s="357"/>
      <c r="I1" s="357"/>
      <c r="J1" s="357"/>
    </row>
    <row r="2" spans="2:10" s="326" customFormat="1" ht="18" thickTop="1" thickBot="1" x14ac:dyDescent="0.35">
      <c r="B2" s="327" t="s">
        <v>573</v>
      </c>
      <c r="C2" s="328">
        <f>[4]HAZİRAN!$C$4+[4]HAZİRAN!$C$5</f>
        <v>1861733.33</v>
      </c>
      <c r="D2" s="328">
        <f>[4]HAZİRAN!$D$4+[4]HAZİRAN!$D$5</f>
        <v>329146.66600000003</v>
      </c>
      <c r="E2" s="328">
        <f>SUM(C2:D2)</f>
        <v>2190879.9960000003</v>
      </c>
      <c r="H2" s="357"/>
      <c r="I2" s="357"/>
      <c r="J2" s="357"/>
    </row>
    <row r="3" spans="2:10" ht="18" thickTop="1" thickBot="1" x14ac:dyDescent="0.35">
      <c r="B3" s="329"/>
      <c r="C3" s="330"/>
      <c r="D3" s="330"/>
      <c r="E3" s="330"/>
    </row>
    <row r="4" spans="2:10" ht="24" customHeight="1" thickTop="1" thickBot="1" x14ac:dyDescent="0.35">
      <c r="B4" s="549" t="s">
        <v>505</v>
      </c>
      <c r="C4" s="550"/>
      <c r="D4" s="550"/>
      <c r="E4" s="551"/>
    </row>
    <row r="5" spans="2:10" ht="18" thickTop="1" thickBot="1" x14ac:dyDescent="0.35">
      <c r="B5" s="332" t="str">
        <f>'YÜKLENİCİ ARAÇLARI'!C2</f>
        <v>UFUK KÖYMEN</v>
      </c>
      <c r="C5" s="333">
        <f>'YÜKLENİCİ ARAÇLARI'!H2+'YÜKLENİCİ ARAÇLARI'!H3+'YÜKLENİCİ ARAÇLARI'!H4</f>
        <v>34200</v>
      </c>
      <c r="D5" s="333">
        <f>'YÜKLENİCİ ARAÇLARI'!I2+'YÜKLENİCİ ARAÇLARI'!I3+'YÜKLENİCİ ARAÇLARI'!I4</f>
        <v>6840</v>
      </c>
      <c r="E5" s="333">
        <f>SUM(C5:D5)</f>
        <v>41040</v>
      </c>
    </row>
    <row r="6" spans="2:10" ht="18" thickTop="1" thickBot="1" x14ac:dyDescent="0.35">
      <c r="B6" s="334" t="str">
        <f>'YÜKLENİCİ ARAÇLARI'!C5</f>
        <v>SAFFET DİN (BÖLGEM TRZ)</v>
      </c>
      <c r="C6" s="335">
        <f>'YÜKLENİCİ ARAÇLARI'!H5</f>
        <v>37700</v>
      </c>
      <c r="D6" s="335">
        <f>'YÜKLENİCİ ARAÇLARI'!I5</f>
        <v>7540</v>
      </c>
      <c r="E6" s="333">
        <f t="shared" ref="E6:E29" si="0">SUM(C6:D6)</f>
        <v>45240</v>
      </c>
    </row>
    <row r="7" spans="2:10" ht="18" thickTop="1" thickBot="1" x14ac:dyDescent="0.35">
      <c r="B7" s="334" t="str">
        <f>'YÜKLENİCİ ARAÇLARI'!C6</f>
        <v>YALÇIN DAMAR</v>
      </c>
      <c r="C7" s="335">
        <f>'YÜKLENİCİ ARAÇLARI'!H6+'YÜKLENİCİ ARAÇLARI'!H54+'YÜKLENİCİ ARAÇLARI'!H55+'YÜKLENİCİ ARAÇLARI'!H56</f>
        <v>96750</v>
      </c>
      <c r="D7" s="335">
        <f>'YÜKLENİCİ ARAÇLARI'!I6+'YÜKLENİCİ ARAÇLARI'!I54+'YÜKLENİCİ ARAÇLARI'!I55+'YÜKLENİCİ ARAÇLARI'!I56</f>
        <v>19350</v>
      </c>
      <c r="E7" s="333">
        <f t="shared" si="0"/>
        <v>116100</v>
      </c>
    </row>
    <row r="8" spans="2:10" ht="18" thickTop="1" thickBot="1" x14ac:dyDescent="0.35">
      <c r="B8" s="334" t="str">
        <f>'YÜKLENİCİ ARAÇLARI'!C7</f>
        <v>MEHMET ANLAŞ</v>
      </c>
      <c r="C8" s="335">
        <f>'YÜKLENİCİ ARAÇLARI'!H7+Tablo5[[#This Row],[TOPLAM]]+'YÜKLENİCİ ARAÇLARI'!H9</f>
        <v>35400</v>
      </c>
      <c r="D8" s="335">
        <f>'YÜKLENİCİ ARAÇLARI'!I7+Tablo5[[#This Row],[0,20%]]+'YÜKLENİCİ ARAÇLARI'!I9</f>
        <v>7080</v>
      </c>
      <c r="E8" s="333">
        <f t="shared" si="0"/>
        <v>42480</v>
      </c>
    </row>
    <row r="9" spans="2:10" ht="18" thickTop="1" thickBot="1" x14ac:dyDescent="0.35">
      <c r="B9" s="334" t="str">
        <f>'YÜKLENİCİ ARAÇLARI'!C10</f>
        <v>SERKAN AKKOYUN</v>
      </c>
      <c r="C9" s="335">
        <f>'YÜKLENİCİ ARAÇLARI'!H10+'YÜKLENİCİ ARAÇLARI'!H11+'YÜKLENİCİ ARAÇLARI'!H50</f>
        <v>24250</v>
      </c>
      <c r="D9" s="335">
        <f>'YÜKLENİCİ ARAÇLARI'!I10+'YÜKLENİCİ ARAÇLARI'!I11+'YÜKLENİCİ ARAÇLARI'!I50</f>
        <v>4850</v>
      </c>
      <c r="E9" s="335">
        <f>'YÜKLENİCİ ARAÇLARI'!J10+'YÜKLENİCİ ARAÇLARI'!J11+'YÜKLENİCİ ARAÇLARI'!J50</f>
        <v>29100</v>
      </c>
    </row>
    <row r="10" spans="2:10" ht="18" thickTop="1" thickBot="1" x14ac:dyDescent="0.35">
      <c r="B10" s="334" t="str">
        <f>'YÜKLENİCİ ARAÇLARI'!C12</f>
        <v>NEVZAT ÖZBAY</v>
      </c>
      <c r="C10" s="335">
        <f>'YÜKLENİCİ ARAÇLARI'!H12</f>
        <v>23400</v>
      </c>
      <c r="D10" s="335">
        <f>'YÜKLENİCİ ARAÇLARI'!I12</f>
        <v>0</v>
      </c>
      <c r="E10" s="333">
        <f t="shared" si="0"/>
        <v>23400</v>
      </c>
    </row>
    <row r="11" spans="2:10" ht="18" thickTop="1" thickBot="1" x14ac:dyDescent="0.35">
      <c r="B11" s="334" t="str">
        <f>'YÜKLENİCİ ARAÇLARI'!C14</f>
        <v>VEYSEL KARATAŞ</v>
      </c>
      <c r="C11" s="335">
        <f>'YÜKLENİCİ ARAÇLARI'!H14+'YÜKLENİCİ ARAÇLARI'!H15+'YÜKLENİCİ ARAÇLARI'!H32</f>
        <v>47550</v>
      </c>
      <c r="D11" s="335">
        <f>'YÜKLENİCİ ARAÇLARI'!I14+'YÜKLENİCİ ARAÇLARI'!I15+'YÜKLENİCİ ARAÇLARI'!I32</f>
        <v>9510</v>
      </c>
      <c r="E11" s="333">
        <f t="shared" si="0"/>
        <v>57060</v>
      </c>
    </row>
    <row r="12" spans="2:10" ht="18" thickTop="1" thickBot="1" x14ac:dyDescent="0.35">
      <c r="B12" s="334" t="str">
        <f>'YÜKLENİCİ ARAÇLARI'!C16</f>
        <v>MEHMET SERDAROĞLU</v>
      </c>
      <c r="C12" s="335">
        <f>'YÜKLENİCİ ARAÇLARI'!H16+'YÜKLENİCİ ARAÇLARI'!H17</f>
        <v>52250</v>
      </c>
      <c r="D12" s="335">
        <f>'YÜKLENİCİ ARAÇLARI'!I16+'YÜKLENİCİ ARAÇLARI'!I17</f>
        <v>10450</v>
      </c>
      <c r="E12" s="333">
        <f t="shared" si="0"/>
        <v>62700</v>
      </c>
    </row>
    <row r="13" spans="2:10" ht="18" thickTop="1" thickBot="1" x14ac:dyDescent="0.35">
      <c r="B13" s="334" t="str">
        <f>'YÜKLENİCİ ARAÇLARI'!C18</f>
        <v>SALİH ÖZTAŞ</v>
      </c>
      <c r="C13" s="335">
        <f>'YÜKLENİCİ ARAÇLARI'!H18</f>
        <v>32400</v>
      </c>
      <c r="D13" s="335">
        <f>'YÜKLENİCİ ARAÇLARI'!I18</f>
        <v>0</v>
      </c>
      <c r="E13" s="333">
        <f t="shared" si="0"/>
        <v>32400</v>
      </c>
    </row>
    <row r="14" spans="2:10" ht="18" thickTop="1" thickBot="1" x14ac:dyDescent="0.35">
      <c r="B14" s="334" t="str">
        <f>'YÜKLENİCİ ARAÇLARI'!C19</f>
        <v>ELİK TUR(HANİFİ ELİK)</v>
      </c>
      <c r="C14" s="335">
        <f>'YÜKLENİCİ ARAÇLARI'!H19+'YÜKLENİCİ ARAÇLARI'!H20</f>
        <v>34000</v>
      </c>
      <c r="D14" s="335">
        <f>'YÜKLENİCİ ARAÇLARI'!I19+'YÜKLENİCİ ARAÇLARI'!I20</f>
        <v>6800</v>
      </c>
      <c r="E14" s="333">
        <f t="shared" si="0"/>
        <v>40800</v>
      </c>
    </row>
    <row r="15" spans="2:10" ht="18" thickTop="1" thickBot="1" x14ac:dyDescent="0.35">
      <c r="B15" s="334" t="str">
        <f>'YÜKLENİCİ ARAÇLARI'!C21</f>
        <v>RAMİS GÜMÜŞ</v>
      </c>
      <c r="C15" s="335">
        <f>'YÜKLENİCİ ARAÇLARI'!H21+'YÜKLENİCİ ARAÇLARI'!H41+'YÜKLENİCİ ARAÇLARI'!H42</f>
        <v>71050</v>
      </c>
      <c r="D15" s="335">
        <f>'YÜKLENİCİ ARAÇLARI'!I21+'YÜKLENİCİ ARAÇLARI'!I41+'YÜKLENİCİ ARAÇLARI'!I42</f>
        <v>14210</v>
      </c>
      <c r="E15" s="333">
        <f t="shared" si="0"/>
        <v>85260</v>
      </c>
    </row>
    <row r="16" spans="2:10" ht="18" thickTop="1" thickBot="1" x14ac:dyDescent="0.35">
      <c r="B16" s="334" t="str">
        <f>'YÜKLENİCİ ARAÇLARI'!C24</f>
        <v>UGUR ERGEZEN</v>
      </c>
      <c r="C16" s="335">
        <f>'YÜKLENİCİ ARAÇLARI'!H24+'YÜKLENİCİ ARAÇLARI'!H25</f>
        <v>29700</v>
      </c>
      <c r="D16" s="335">
        <f>'YÜKLENİCİ ARAÇLARI'!I24+'YÜKLENİCİ ARAÇLARI'!I25</f>
        <v>5940</v>
      </c>
      <c r="E16" s="333">
        <f t="shared" si="0"/>
        <v>35640</v>
      </c>
    </row>
    <row r="17" spans="2:5" ht="22.2" customHeight="1" thickTop="1" thickBot="1" x14ac:dyDescent="0.35">
      <c r="B17" s="334" t="str">
        <f>'YÜKLENİCİ ARAÇLARI'!C22</f>
        <v>SERHAT TURAN TUR</v>
      </c>
      <c r="C17" s="335">
        <f>'YÜKLENİCİ ARAÇLARI'!H22+'YÜKLENİCİ ARAÇLARI'!H28+'YÜKLENİCİ ARAÇLARI'!H43</f>
        <v>36400</v>
      </c>
      <c r="D17" s="335">
        <f>'YÜKLENİCİ ARAÇLARI'!I22+'YÜKLENİCİ ARAÇLARI'!I28+'YÜKLENİCİ ARAÇLARI'!I43</f>
        <v>7280</v>
      </c>
      <c r="E17" s="333">
        <f t="shared" si="0"/>
        <v>43680</v>
      </c>
    </row>
    <row r="18" spans="2:5" ht="18" thickTop="1" thickBot="1" x14ac:dyDescent="0.35">
      <c r="B18" s="334" t="str">
        <f>'YÜKLENİCİ ARAÇLARI'!C29</f>
        <v>ERMAN TUR</v>
      </c>
      <c r="C18" s="335">
        <f>'YÜKLENİCİ ARAÇLARI'!H29+'YÜKLENİCİ ARAÇLARI'!H30</f>
        <v>23400</v>
      </c>
      <c r="D18" s="335">
        <f>'YÜKLENİCİ ARAÇLARI'!I29+'YÜKLENİCİ ARAÇLARI'!I30</f>
        <v>4680</v>
      </c>
      <c r="E18" s="333">
        <f t="shared" si="0"/>
        <v>28080</v>
      </c>
    </row>
    <row r="19" spans="2:5" ht="18" thickTop="1" thickBot="1" x14ac:dyDescent="0.35">
      <c r="B19" s="334" t="str">
        <f>'YÜKLENİCİ ARAÇLARI'!C31</f>
        <v>GÜVEN TUR</v>
      </c>
      <c r="C19" s="336">
        <f>'YÜKLENİCİ ARAÇLARI'!H31</f>
        <v>23400</v>
      </c>
      <c r="D19" s="336">
        <f>'YÜKLENİCİ ARAÇLARI'!I31</f>
        <v>4680</v>
      </c>
      <c r="E19" s="333">
        <f t="shared" si="0"/>
        <v>28080</v>
      </c>
    </row>
    <row r="20" spans="2:5" ht="18" thickTop="1" thickBot="1" x14ac:dyDescent="0.35">
      <c r="B20" s="334" t="str">
        <f>'YÜKLENİCİ ARAÇLARI'!C33</f>
        <v>KADİR TUNCEL</v>
      </c>
      <c r="C20" s="335">
        <f>'YÜKLENİCİ ARAÇLARI'!H33+'YÜKLENİCİ ARAÇLARI'!H36</f>
        <v>46800</v>
      </c>
      <c r="D20" s="335">
        <f>'YÜKLENİCİ ARAÇLARI'!I33+'YÜKLENİCİ ARAÇLARI'!I36</f>
        <v>9360</v>
      </c>
      <c r="E20" s="333">
        <f t="shared" si="0"/>
        <v>56160</v>
      </c>
    </row>
    <row r="21" spans="2:5" ht="18" thickTop="1" thickBot="1" x14ac:dyDescent="0.35">
      <c r="B21" s="334" t="str">
        <f>'YÜKLENİCİ ARAÇLARI'!C34</f>
        <v>İBRAHİM AKKUŞ</v>
      </c>
      <c r="C21" s="335">
        <f>'YÜKLENİCİ ARAÇLARI'!H34+'YÜKLENİCİ ARAÇLARI'!H35</f>
        <v>49300</v>
      </c>
      <c r="D21" s="335">
        <f>'YÜKLENİCİ ARAÇLARI'!I34+'YÜKLENİCİ ARAÇLARI'!I35</f>
        <v>9860</v>
      </c>
      <c r="E21" s="333">
        <f t="shared" si="0"/>
        <v>59160</v>
      </c>
    </row>
    <row r="22" spans="2:5" ht="21.75" customHeight="1" thickTop="1" thickBot="1" x14ac:dyDescent="0.35">
      <c r="B22" s="334" t="str">
        <f>'YÜKLENİCİ ARAÇLARI'!C37</f>
        <v>EMİN-ARZU DİNDAROĞLU</v>
      </c>
      <c r="C22" s="335">
        <f>'YÜKLENİCİ ARAÇLARI'!H37</f>
        <v>23400</v>
      </c>
      <c r="D22" s="335">
        <f>'YÜKLENİCİ ARAÇLARI'!I37</f>
        <v>4680</v>
      </c>
      <c r="E22" s="333">
        <f t="shared" si="0"/>
        <v>28080</v>
      </c>
    </row>
    <row r="23" spans="2:5" ht="18" thickTop="1" thickBot="1" x14ac:dyDescent="0.35">
      <c r="B23" s="334" t="str">
        <f>'YÜKLENİCİ ARAÇLARI'!C38</f>
        <v>REMZİ/HÜRREM DORUK</v>
      </c>
      <c r="C23" s="335">
        <f>'YÜKLENİCİ ARAÇLARI'!H38</f>
        <v>23400</v>
      </c>
      <c r="D23" s="335">
        <f>'YÜKLENİCİ ARAÇLARI'!I38</f>
        <v>0</v>
      </c>
      <c r="E23" s="333">
        <f t="shared" si="0"/>
        <v>23400</v>
      </c>
    </row>
    <row r="24" spans="2:5" ht="19.5" customHeight="1" thickTop="1" thickBot="1" x14ac:dyDescent="0.35">
      <c r="B24" s="334" t="str">
        <f>'YÜKLENİCİ ARAÇLARI'!C39</f>
        <v>GÖKHAN IŞIK</v>
      </c>
      <c r="C24" s="335">
        <f>'YÜKLENİCİ ARAÇLARI'!H39+'YÜKLENİCİ ARAÇLARI'!H40+'YÜKLENİCİ ARAÇLARI'!H26+'YÜKLENİCİ ARAÇLARI'!H27</f>
        <v>77500</v>
      </c>
      <c r="D24" s="335">
        <f>'YÜKLENİCİ ARAÇLARI'!I39+'YÜKLENİCİ ARAÇLARI'!I40+'YÜKLENİCİ ARAÇLARI'!I26+'YÜKLENİCİ ARAÇLARI'!I27</f>
        <v>15500</v>
      </c>
      <c r="E24" s="333">
        <f t="shared" si="0"/>
        <v>93000</v>
      </c>
    </row>
    <row r="25" spans="2:5" ht="18" thickTop="1" thickBot="1" x14ac:dyDescent="0.35">
      <c r="B25" s="334" t="str">
        <f>'YÜKLENİCİ ARAÇLARI'!C44</f>
        <v>RAMAZAN /MERVE YILMAZ</v>
      </c>
      <c r="C25" s="335">
        <f>'YÜKLENİCİ ARAÇLARI'!H44+'YÜKLENİCİ ARAÇLARI'!H23</f>
        <v>60500</v>
      </c>
      <c r="D25" s="335">
        <f>'YÜKLENİCİ ARAÇLARI'!I44+'YÜKLENİCİ ARAÇLARI'!I23</f>
        <v>12100</v>
      </c>
      <c r="E25" s="333">
        <f t="shared" si="0"/>
        <v>72600</v>
      </c>
    </row>
    <row r="26" spans="2:5" ht="18" thickTop="1" thickBot="1" x14ac:dyDescent="0.35">
      <c r="B26" s="334" t="str">
        <f>'YÜKLENİCİ ARAÇLARI'!C45</f>
        <v>NURİ ŞAHİN ESTUR LIVIN</v>
      </c>
      <c r="C26" s="335">
        <f>'YÜKLENİCİ ARAÇLARI'!H45</f>
        <v>27000</v>
      </c>
      <c r="D26" s="335">
        <f>'YÜKLENİCİ ARAÇLARI'!I45</f>
        <v>5400</v>
      </c>
      <c r="E26" s="333">
        <f t="shared" si="0"/>
        <v>32400</v>
      </c>
    </row>
    <row r="27" spans="2:5" ht="18" thickTop="1" thickBot="1" x14ac:dyDescent="0.35">
      <c r="B27" s="334" t="str">
        <f>'YÜKLENİCİ ARAÇLARI'!C46</f>
        <v>EMİRCAN KURT</v>
      </c>
      <c r="C27" s="335">
        <f>'YÜKLENİCİ ARAÇLARI'!H46+'YÜKLENİCİ ARAÇLARI'!H48+'YÜKLENİCİ ARAÇLARI'!H49+'YÜKLENİCİ ARAÇLARI'!H51+'YÜKLENİCİ ARAÇLARI'!H53</f>
        <v>107800</v>
      </c>
      <c r="D27" s="335">
        <f>'YÜKLENİCİ ARAÇLARI'!I46+'YÜKLENİCİ ARAÇLARI'!I48+'YÜKLENİCİ ARAÇLARI'!I49+'YÜKLENİCİ ARAÇLARI'!I51+'YÜKLENİCİ ARAÇLARI'!I53</f>
        <v>21560</v>
      </c>
      <c r="E27" s="335">
        <f>'YÜKLENİCİ ARAÇLARI'!J46+'YÜKLENİCİ ARAÇLARI'!J48+'YÜKLENİCİ ARAÇLARI'!J49+'YÜKLENİCİ ARAÇLARI'!J51+'YÜKLENİCİ ARAÇLARI'!J53</f>
        <v>129360</v>
      </c>
    </row>
    <row r="28" spans="2:5" ht="18" thickTop="1" thickBot="1" x14ac:dyDescent="0.35">
      <c r="B28" s="334" t="str">
        <f>'YÜKLENİCİ ARAÇLARI'!C52</f>
        <v>Y EMRE OCAK</v>
      </c>
      <c r="C28" s="335">
        <f>'YÜKLENİCİ ARAÇLARI'!H52</f>
        <v>9900</v>
      </c>
      <c r="D28" s="335">
        <f>'YÜKLENİCİ ARAÇLARI'!I52</f>
        <v>1980</v>
      </c>
      <c r="E28" s="333">
        <f t="shared" si="0"/>
        <v>11880</v>
      </c>
    </row>
    <row r="29" spans="2:5" ht="18" thickTop="1" thickBot="1" x14ac:dyDescent="0.35">
      <c r="B29" s="334" t="str">
        <f>'YÜKLENİCİ ARAÇLARI'!C47</f>
        <v>MUSTAFA ÖZTÜRK</v>
      </c>
      <c r="C29" s="335">
        <f>'YÜKLENİCİ ARAÇLARI'!H47</f>
        <v>23400</v>
      </c>
      <c r="D29" s="335">
        <f>'YÜKLENİCİ ARAÇLARI'!I47</f>
        <v>4680</v>
      </c>
      <c r="E29" s="333">
        <f t="shared" si="0"/>
        <v>28080</v>
      </c>
    </row>
    <row r="30" spans="2:5" ht="18" thickTop="1" thickBot="1" x14ac:dyDescent="0.35">
      <c r="B30" s="334"/>
      <c r="C30" s="335"/>
      <c r="D30" s="335"/>
      <c r="E30" s="335"/>
    </row>
    <row r="31" spans="2:5" ht="18" thickTop="1" thickBot="1" x14ac:dyDescent="0.35">
      <c r="B31" s="337" t="s">
        <v>171</v>
      </c>
      <c r="C31" s="338">
        <f>SUM(C5:C30)</f>
        <v>1050850</v>
      </c>
      <c r="D31" s="338">
        <f>SUM(D5:D30)</f>
        <v>194330</v>
      </c>
      <c r="E31" s="338">
        <f>SUM(E5:E30)</f>
        <v>1245180</v>
      </c>
    </row>
    <row r="32" spans="2:5" ht="17.399999999999999" thickTop="1" x14ac:dyDescent="0.3">
      <c r="C32" s="340"/>
      <c r="D32" s="340"/>
      <c r="E32" s="340"/>
    </row>
    <row r="33" spans="2:5" ht="17.399999999999999" thickBot="1" x14ac:dyDescent="0.35">
      <c r="C33" s="340"/>
      <c r="D33" s="340"/>
      <c r="E33" s="340"/>
    </row>
    <row r="34" spans="2:5" ht="18" thickTop="1" thickBot="1" x14ac:dyDescent="0.35">
      <c r="B34" s="341" t="s">
        <v>213</v>
      </c>
      <c r="C34" s="342" t="s">
        <v>30</v>
      </c>
      <c r="D34" s="342" t="s">
        <v>31</v>
      </c>
      <c r="E34" s="342" t="s">
        <v>3</v>
      </c>
    </row>
    <row r="35" spans="2:5" ht="18" thickTop="1" thickBot="1" x14ac:dyDescent="0.35">
      <c r="B35" s="343" t="s">
        <v>213</v>
      </c>
      <c r="C35" s="344">
        <f>C2-C31</f>
        <v>810883.33000000007</v>
      </c>
      <c r="D35" s="344">
        <f>D2-D31</f>
        <v>134816.66600000003</v>
      </c>
      <c r="E35" s="344">
        <f>E2-E31</f>
        <v>945699.99600000028</v>
      </c>
    </row>
    <row r="36" spans="2:5" ht="17.399999999999999" thickTop="1" x14ac:dyDescent="0.3">
      <c r="C36" s="340"/>
      <c r="D36" s="340"/>
      <c r="E36" s="340"/>
    </row>
    <row r="37" spans="2:5" ht="17.399999999999999" thickBot="1" x14ac:dyDescent="0.35">
      <c r="C37" s="340"/>
      <c r="D37" s="340"/>
      <c r="E37" s="340"/>
    </row>
    <row r="38" spans="2:5" ht="18" thickTop="1" thickBot="1" x14ac:dyDescent="0.35">
      <c r="B38" s="345" t="s">
        <v>506</v>
      </c>
      <c r="C38" s="346" t="s">
        <v>30</v>
      </c>
      <c r="D38" s="346" t="s">
        <v>31</v>
      </c>
      <c r="E38" s="346" t="s">
        <v>32</v>
      </c>
    </row>
    <row r="39" spans="2:5" ht="18" thickTop="1" thickBot="1" x14ac:dyDescent="0.35">
      <c r="B39" s="347" t="str">
        <f>'ŞİRKET ARAÇ'!C2</f>
        <v>54 S 0562</v>
      </c>
      <c r="C39" s="348">
        <f>'ŞİRKET ARAÇ'!G2</f>
        <v>52500</v>
      </c>
      <c r="D39" s="348">
        <f>'ŞİRKET ARAÇ'!J2</f>
        <v>5250</v>
      </c>
      <c r="E39" s="348">
        <f>SUM(C39:D39)</f>
        <v>57750</v>
      </c>
    </row>
    <row r="40" spans="2:5" ht="18" thickTop="1" thickBot="1" x14ac:dyDescent="0.35">
      <c r="B40" s="347" t="str">
        <f>'ŞİRKET ARAÇ'!C3</f>
        <v>54 S 1173</v>
      </c>
      <c r="C40" s="348">
        <f>'ŞİRKET ARAÇ'!G3</f>
        <v>52500</v>
      </c>
      <c r="D40" s="348">
        <f>'ŞİRKET ARAÇ'!J3</f>
        <v>5250</v>
      </c>
      <c r="E40" s="348">
        <f t="shared" ref="E40:E45" si="1">SUM(C40:D40)</f>
        <v>57750</v>
      </c>
    </row>
    <row r="41" spans="2:5" ht="18" thickTop="1" thickBot="1" x14ac:dyDescent="0.35">
      <c r="B41" s="347" t="str">
        <f>'ŞİRKET ARAÇ'!C4</f>
        <v>54 S 0857</v>
      </c>
      <c r="C41" s="348">
        <f>'ŞİRKET ARAÇ'!G4+'ŞİRKET ARAÇ'!G6</f>
        <v>91800</v>
      </c>
      <c r="D41" s="348">
        <f>'ŞİRKET ARAÇ'!J4+'ŞİRKET ARAÇ'!J6</f>
        <v>9180</v>
      </c>
      <c r="E41" s="348">
        <f t="shared" si="1"/>
        <v>100980</v>
      </c>
    </row>
    <row r="42" spans="2:5" ht="18" thickTop="1" thickBot="1" x14ac:dyDescent="0.35">
      <c r="B42" s="347" t="str">
        <f>'ŞİRKET ARAÇ'!C7</f>
        <v>54 S 0564</v>
      </c>
      <c r="C42" s="348">
        <f>'ŞİRKET ARAÇ'!G7</f>
        <v>71400</v>
      </c>
      <c r="D42" s="348">
        <f>'ŞİRKET ARAÇ'!J7</f>
        <v>7140</v>
      </c>
      <c r="E42" s="348">
        <f t="shared" si="1"/>
        <v>78540</v>
      </c>
    </row>
    <row r="43" spans="2:5" ht="18" thickTop="1" thickBot="1" x14ac:dyDescent="0.35">
      <c r="B43" s="347" t="str">
        <f>'ŞİRKET ARAÇ'!C9</f>
        <v>54 S 0565</v>
      </c>
      <c r="C43" s="348">
        <f>'ŞİRKET ARAÇ'!G8+'ŞİRKET ARAÇ'!G9</f>
        <v>66300</v>
      </c>
      <c r="D43" s="348">
        <f>'ŞİRKET ARAÇ'!J9</f>
        <v>6630</v>
      </c>
      <c r="E43" s="348">
        <f t="shared" si="1"/>
        <v>72930</v>
      </c>
    </row>
    <row r="44" spans="2:5" ht="18" thickTop="1" thickBot="1" x14ac:dyDescent="0.35">
      <c r="B44" s="349" t="str">
        <f>'ŞİRKET ARAÇ'!C10</f>
        <v>54 S 1194</v>
      </c>
      <c r="C44" s="350">
        <f>'ŞİRKET ARAÇ'!G10</f>
        <v>48750</v>
      </c>
      <c r="D44" s="348">
        <f>'ŞİRKET ARAÇ'!J10</f>
        <v>4875</v>
      </c>
      <c r="E44" s="348">
        <f t="shared" si="1"/>
        <v>53625</v>
      </c>
    </row>
    <row r="45" spans="2:5" ht="18" thickTop="1" thickBot="1" x14ac:dyDescent="0.35">
      <c r="B45" s="349" t="str">
        <f>'ŞİRKET ARAÇ'!C14</f>
        <v>54 S 0257</v>
      </c>
      <c r="C45" s="350">
        <f>'ŞİRKET ARAÇ'!G14</f>
        <v>49400</v>
      </c>
      <c r="D45" s="348">
        <f>'ŞİRKET ARAÇ'!J14</f>
        <v>4940</v>
      </c>
      <c r="E45" s="348">
        <f t="shared" si="1"/>
        <v>54340</v>
      </c>
    </row>
    <row r="46" spans="2:5" ht="18" thickTop="1" thickBot="1" x14ac:dyDescent="0.35">
      <c r="B46" s="351" t="s">
        <v>3</v>
      </c>
      <c r="C46" s="352">
        <f>SUM(C39:C45)</f>
        <v>432650</v>
      </c>
      <c r="D46" s="352">
        <f>SUM(D39:D45)</f>
        <v>43265</v>
      </c>
      <c r="E46" s="352">
        <f>SUM(E39:E45)</f>
        <v>475915</v>
      </c>
    </row>
    <row r="47" spans="2:5" ht="17.399999999999999" thickTop="1" x14ac:dyDescent="0.3">
      <c r="C47" s="353"/>
      <c r="D47" s="353"/>
      <c r="E47" s="353"/>
    </row>
    <row r="48" spans="2:5" x14ac:dyDescent="0.3">
      <c r="C48" s="339"/>
      <c r="D48" s="339"/>
    </row>
    <row r="49" spans="2:10" s="326" customFormat="1" ht="17.399999999999999" thickBot="1" x14ac:dyDescent="0.35">
      <c r="B49" s="355" t="s">
        <v>178</v>
      </c>
      <c r="C49" s="356" t="s">
        <v>175</v>
      </c>
      <c r="D49" s="356" t="s">
        <v>176</v>
      </c>
      <c r="E49" s="356" t="s">
        <v>177</v>
      </c>
      <c r="H49" s="357"/>
      <c r="I49" s="357"/>
      <c r="J49" s="357"/>
    </row>
    <row r="50" spans="2:10" s="326" customFormat="1" ht="18.75" customHeight="1" thickTop="1" thickBot="1" x14ac:dyDescent="0.35">
      <c r="B50" s="351" t="s">
        <v>303</v>
      </c>
      <c r="C50" s="352">
        <f>C46</f>
        <v>432650</v>
      </c>
      <c r="D50" s="352">
        <f>D46</f>
        <v>43265</v>
      </c>
      <c r="E50" s="352">
        <f>E46</f>
        <v>475915</v>
      </c>
      <c r="H50" s="357"/>
      <c r="I50" s="357"/>
      <c r="J50" s="357"/>
    </row>
    <row r="51" spans="2:10" s="326" customFormat="1" ht="18.75" customHeight="1" thickTop="1" thickBot="1" x14ac:dyDescent="0.35">
      <c r="B51" s="351"/>
      <c r="C51" s="352"/>
      <c r="D51" s="352"/>
      <c r="E51" s="352"/>
      <c r="H51" s="357"/>
      <c r="I51" s="357"/>
      <c r="J51" s="357"/>
    </row>
    <row r="52" spans="2:10" s="326" customFormat="1" ht="18.75" customHeight="1" thickTop="1" thickBot="1" x14ac:dyDescent="0.35">
      <c r="B52" s="351" t="s">
        <v>304</v>
      </c>
      <c r="C52" s="352">
        <f>C2-C31-C46</f>
        <v>378233.33000000007</v>
      </c>
      <c r="D52" s="352">
        <f>D2-D31-D46</f>
        <v>91551.666000000027</v>
      </c>
      <c r="E52" s="352">
        <f>E2-E31-E46</f>
        <v>469784.99600000028</v>
      </c>
      <c r="H52" s="357"/>
      <c r="I52" s="357"/>
      <c r="J52" s="357"/>
    </row>
    <row r="53" spans="2:10" s="326" customFormat="1" ht="18.75" customHeight="1" thickTop="1" thickBot="1" x14ac:dyDescent="0.35">
      <c r="B53" s="351"/>
      <c r="C53" s="352"/>
      <c r="D53" s="352"/>
      <c r="E53" s="352"/>
      <c r="H53" s="357"/>
      <c r="I53" s="357"/>
      <c r="J53" s="357"/>
    </row>
    <row r="54" spans="2:10" s="326" customFormat="1" ht="18.75" customHeight="1" thickTop="1" thickBot="1" x14ac:dyDescent="0.35">
      <c r="B54" s="358" t="s">
        <v>203</v>
      </c>
      <c r="C54" s="358">
        <f t="shared" ref="C54:D54" si="2">SUM(C50:C52)</f>
        <v>810883.33000000007</v>
      </c>
      <c r="D54" s="358">
        <f t="shared" si="2"/>
        <v>134816.66600000003</v>
      </c>
      <c r="E54" s="358">
        <f>SUM(E50:E52)</f>
        <v>945699.99600000028</v>
      </c>
      <c r="H54" s="357"/>
      <c r="I54" s="357"/>
      <c r="J54" s="357"/>
    </row>
    <row r="55" spans="2:10" ht="18.75" customHeight="1" thickTop="1" x14ac:dyDescent="0.3">
      <c r="C55" s="353"/>
      <c r="D55" s="353"/>
      <c r="E55" s="353"/>
    </row>
    <row r="56" spans="2:10" ht="17.399999999999999" thickBot="1" x14ac:dyDescent="0.35">
      <c r="B56" s="470"/>
    </row>
    <row r="57" spans="2:10" s="326" customFormat="1" ht="24" customHeight="1" thickTop="1" thickBot="1" x14ac:dyDescent="0.35">
      <c r="B57" s="359" t="s">
        <v>305</v>
      </c>
      <c r="C57" s="360" t="s">
        <v>30</v>
      </c>
      <c r="D57" s="360" t="s">
        <v>31</v>
      </c>
      <c r="E57" s="360" t="s">
        <v>32</v>
      </c>
      <c r="H57" s="357"/>
      <c r="I57" s="357"/>
      <c r="J57" s="357"/>
    </row>
    <row r="58" spans="2:10" s="326" customFormat="1" ht="24" customHeight="1" thickTop="1" thickBot="1" x14ac:dyDescent="0.35">
      <c r="B58" s="361" t="s">
        <v>573</v>
      </c>
      <c r="C58" s="360">
        <v>854952.01</v>
      </c>
      <c r="D58" s="360">
        <v>149145.16</v>
      </c>
      <c r="E58" s="360">
        <f>SUM(C58:D58)</f>
        <v>1004097.17</v>
      </c>
      <c r="H58" s="357"/>
      <c r="I58" s="357"/>
      <c r="J58" s="357"/>
    </row>
    <row r="59" spans="2:10" s="362" customFormat="1" ht="24" customHeight="1" thickTop="1" thickBot="1" x14ac:dyDescent="0.35">
      <c r="B59" s="561" t="s">
        <v>185</v>
      </c>
      <c r="C59" s="561"/>
      <c r="D59" s="561"/>
      <c r="E59" s="561"/>
      <c r="H59" s="471"/>
      <c r="I59" s="471"/>
      <c r="J59" s="471"/>
    </row>
    <row r="60" spans="2:10" ht="24" customHeight="1" thickTop="1" thickBot="1" x14ac:dyDescent="0.35">
      <c r="B60" s="332" t="str">
        <f>'YÜKLENİCİ ARAÇLARI'!C61</f>
        <v>SERKAN KASAP</v>
      </c>
      <c r="C60" s="363">
        <f>'YÜKLENİCİ ARAÇLARI'!H61+'YÜKLENİCİ ARAÇLARI'!H62</f>
        <v>156750</v>
      </c>
      <c r="D60" s="363">
        <f>'YÜKLENİCİ ARAÇLARI'!I61+'YÜKLENİCİ ARAÇLARI'!I62</f>
        <v>31350</v>
      </c>
      <c r="E60" s="363">
        <f>SUM(C60:D60)</f>
        <v>188100</v>
      </c>
      <c r="H60" s="365">
        <v>89994.51</v>
      </c>
      <c r="I60" s="365">
        <v>15699.41</v>
      </c>
      <c r="J60" s="365">
        <f>SUM(H60:I60)</f>
        <v>105693.92</v>
      </c>
    </row>
    <row r="61" spans="2:10" ht="24" customHeight="1" thickTop="1" thickBot="1" x14ac:dyDescent="0.35">
      <c r="B61" s="332" t="str">
        <f>'YÜKLENİCİ ARAÇLARI'!C63</f>
        <v>ALİ BAHRİ DEMİR</v>
      </c>
      <c r="C61" s="364">
        <f>'YÜKLENİCİ ARAÇLARI'!H63</f>
        <v>71250</v>
      </c>
      <c r="D61" s="364">
        <f>'YÜKLENİCİ ARAÇLARI'!I63</f>
        <v>14250</v>
      </c>
      <c r="E61" s="364">
        <f>SUM(C61:D61)</f>
        <v>85500</v>
      </c>
      <c r="H61" s="365">
        <v>224987.5</v>
      </c>
      <c r="I61" s="365">
        <v>39248.75</v>
      </c>
      <c r="J61" s="365">
        <f>SUM(H61:I61)</f>
        <v>264236.25</v>
      </c>
    </row>
    <row r="62" spans="2:10" ht="24" customHeight="1" thickTop="1" thickBot="1" x14ac:dyDescent="0.35">
      <c r="B62" s="332" t="str">
        <f>'YÜKLENİCİ ARAÇLARI'!C64</f>
        <v>HAMDİ ÖCAL SAPANCA SYH</v>
      </c>
      <c r="C62" s="366">
        <f>'YÜKLENİCİ ARAÇLARI'!H64</f>
        <v>66500</v>
      </c>
      <c r="D62" s="366">
        <f>'YÜKLENİCİ ARAÇLARI'!I64</f>
        <v>13300</v>
      </c>
      <c r="E62" s="366">
        <f>'YÜKLENİCİ ARAÇLARI'!J64</f>
        <v>79800</v>
      </c>
      <c r="H62" s="365">
        <v>224987.5</v>
      </c>
      <c r="I62" s="365">
        <v>39248.75</v>
      </c>
      <c r="J62" s="365">
        <f>SUM(H62:I62)</f>
        <v>264236.25</v>
      </c>
    </row>
    <row r="63" spans="2:10" ht="24" customHeight="1" thickTop="1" thickBot="1" x14ac:dyDescent="0.35">
      <c r="B63" s="332" t="str">
        <f>'YÜKLENİCİ ARAÇLARI'!C65</f>
        <v>ŞABAN ŞİRİN</v>
      </c>
      <c r="C63" s="366">
        <f>'YÜKLENİCİ ARAÇLARI'!H65</f>
        <v>61750</v>
      </c>
      <c r="D63" s="366">
        <f>'YÜKLENİCİ ARAÇLARI'!I65</f>
        <v>12350</v>
      </c>
      <c r="E63" s="366">
        <f>'YÜKLENİCİ ARAÇLARI'!J65</f>
        <v>74100</v>
      </c>
      <c r="H63" s="365">
        <v>314982.5</v>
      </c>
      <c r="I63" s="365">
        <v>54948.25</v>
      </c>
      <c r="J63" s="365">
        <f>SUM(H63:I63)</f>
        <v>369930.75</v>
      </c>
    </row>
    <row r="64" spans="2:10" ht="24" customHeight="1" thickTop="1" thickBot="1" x14ac:dyDescent="0.35">
      <c r="B64" s="351" t="s">
        <v>3</v>
      </c>
      <c r="C64" s="367">
        <f>SUM(C60:C63)</f>
        <v>356250</v>
      </c>
      <c r="D64" s="367">
        <f>SUM(D60:D63)</f>
        <v>71250</v>
      </c>
      <c r="E64" s="367">
        <f>SUM(E60:E63)</f>
        <v>427500</v>
      </c>
      <c r="H64" s="365">
        <f>SUM(H60:H63)</f>
        <v>854952.01</v>
      </c>
      <c r="I64" s="365">
        <f t="shared" ref="I64:J64" si="3">SUM(I60:I63)</f>
        <v>149145.16</v>
      </c>
      <c r="J64" s="365">
        <f t="shared" si="3"/>
        <v>1004097.1699999999</v>
      </c>
    </row>
    <row r="65" spans="2:10" ht="18" thickTop="1" thickBot="1" x14ac:dyDescent="0.35"/>
    <row r="66" spans="2:10" ht="18" thickTop="1" thickBot="1" x14ac:dyDescent="0.35">
      <c r="B66" s="341" t="s">
        <v>213</v>
      </c>
      <c r="C66" s="342" t="s">
        <v>30</v>
      </c>
      <c r="D66" s="342" t="s">
        <v>31</v>
      </c>
      <c r="E66" s="342" t="s">
        <v>3</v>
      </c>
      <c r="H66" s="365">
        <v>169000</v>
      </c>
      <c r="I66" s="365">
        <v>16900</v>
      </c>
      <c r="J66" s="365">
        <f>SUM(H66:I66)</f>
        <v>185900</v>
      </c>
    </row>
    <row r="67" spans="2:10" ht="18" thickTop="1" thickBot="1" x14ac:dyDescent="0.35">
      <c r="B67" s="343" t="s">
        <v>213</v>
      </c>
      <c r="C67" s="344">
        <f>C58-C64</f>
        <v>498702.01</v>
      </c>
      <c r="D67" s="344">
        <f t="shared" ref="D67:E67" si="4">D58-D64</f>
        <v>77895.16</v>
      </c>
      <c r="E67" s="344">
        <f t="shared" si="4"/>
        <v>576597.17000000004</v>
      </c>
      <c r="H67" s="365">
        <v>295750</v>
      </c>
      <c r="I67" s="365">
        <v>29575</v>
      </c>
      <c r="J67" s="365">
        <f>SUM(H67:I67)</f>
        <v>325325</v>
      </c>
    </row>
    <row r="68" spans="2:10" ht="22.5" customHeight="1" thickTop="1" thickBot="1" x14ac:dyDescent="0.35">
      <c r="B68" s="368"/>
      <c r="C68" s="368"/>
      <c r="D68" s="368"/>
      <c r="E68" s="368"/>
      <c r="H68" s="365">
        <v>295750</v>
      </c>
      <c r="I68" s="365">
        <v>29575</v>
      </c>
      <c r="J68" s="365">
        <f>SUM(H68:I68)</f>
        <v>325325</v>
      </c>
    </row>
    <row r="69" spans="2:10" ht="18" thickTop="1" thickBot="1" x14ac:dyDescent="0.35">
      <c r="B69" s="345" t="s">
        <v>181</v>
      </c>
      <c r="C69" s="346" t="s">
        <v>30</v>
      </c>
      <c r="D69" s="346" t="s">
        <v>31</v>
      </c>
      <c r="E69" s="346" t="s">
        <v>32</v>
      </c>
      <c r="H69" s="365">
        <v>507000</v>
      </c>
      <c r="I69" s="365">
        <v>50700</v>
      </c>
      <c r="J69" s="365">
        <f>SUM(H69:I69)</f>
        <v>557700</v>
      </c>
    </row>
    <row r="70" spans="2:10" ht="18" thickTop="1" thickBot="1" x14ac:dyDescent="0.35">
      <c r="B70" s="347" t="str">
        <f>'ŞİRKET ARAÇ'!C24</f>
        <v>54 S 0562</v>
      </c>
      <c r="C70" s="348">
        <f>'ŞİRKET ARAÇ'!G24</f>
        <v>95000</v>
      </c>
      <c r="D70" s="348">
        <f>C70*0.1</f>
        <v>9500</v>
      </c>
      <c r="E70" s="348">
        <f>SUM(C70:D70)</f>
        <v>104500</v>
      </c>
      <c r="H70" s="365">
        <f>SUM(H66:H69)</f>
        <v>1267500</v>
      </c>
      <c r="I70" s="365">
        <f t="shared" ref="I70:J70" si="5">SUM(I66:I69)</f>
        <v>126750</v>
      </c>
      <c r="J70" s="365">
        <f t="shared" si="5"/>
        <v>1394250</v>
      </c>
    </row>
    <row r="71" spans="2:10" ht="18" thickTop="1" thickBot="1" x14ac:dyDescent="0.35">
      <c r="B71" s="347" t="str">
        <f>'ŞİRKET ARAÇ'!C26</f>
        <v>54 S 0565</v>
      </c>
      <c r="C71" s="348">
        <f>'ŞİRKET ARAÇ'!G26</f>
        <v>15603.75</v>
      </c>
      <c r="D71" s="348">
        <f t="shared" ref="D71:D80" si="6">C71*0.1</f>
        <v>1560.375</v>
      </c>
      <c r="E71" s="348">
        <f t="shared" ref="E71:E80" si="7">SUM(C71:D71)</f>
        <v>17164.125</v>
      </c>
    </row>
    <row r="72" spans="2:10" ht="18" thickTop="1" thickBot="1" x14ac:dyDescent="0.35">
      <c r="B72" s="347" t="str">
        <f>'ŞİRKET ARAÇ'!C27</f>
        <v>54 S 0564</v>
      </c>
      <c r="C72" s="348">
        <f>'ŞİRKET ARAÇ'!G27</f>
        <v>15603.75</v>
      </c>
      <c r="D72" s="348">
        <f t="shared" si="6"/>
        <v>1560.375</v>
      </c>
      <c r="E72" s="348">
        <f t="shared" si="7"/>
        <v>17164.125</v>
      </c>
      <c r="H72" s="365">
        <v>11667.49</v>
      </c>
      <c r="I72" s="365">
        <f>H72*0.2</f>
        <v>2333.498</v>
      </c>
      <c r="J72" s="365">
        <f>SUM(H72:I72)</f>
        <v>14000.987999999999</v>
      </c>
    </row>
    <row r="73" spans="2:10" ht="18" thickTop="1" thickBot="1" x14ac:dyDescent="0.35">
      <c r="B73" s="347" t="str">
        <f>'ŞİRKET ARAÇ'!C28</f>
        <v>54 S 567-2933</v>
      </c>
      <c r="C73" s="348">
        <f>'ŞİRKET ARAÇ'!G28</f>
        <v>15603.75</v>
      </c>
      <c r="D73" s="348">
        <f t="shared" si="6"/>
        <v>1560.375</v>
      </c>
      <c r="E73" s="348">
        <f t="shared" si="7"/>
        <v>17164.125</v>
      </c>
      <c r="H73" s="365">
        <v>29870.81</v>
      </c>
      <c r="I73" s="365">
        <f>H73*0.2</f>
        <v>5974.1620000000003</v>
      </c>
      <c r="J73" s="365">
        <f>SUM(H73:I73)</f>
        <v>35844.972000000002</v>
      </c>
    </row>
    <row r="74" spans="2:10" ht="19.95" customHeight="1" thickTop="1" thickBot="1" x14ac:dyDescent="0.35">
      <c r="B74" s="347" t="str">
        <f>'ŞİRKET ARAÇ'!C29</f>
        <v>54 S 0257</v>
      </c>
      <c r="C74" s="348">
        <f>'ŞİRKET ARAÇ'!G29</f>
        <v>31207.5</v>
      </c>
      <c r="D74" s="348">
        <f t="shared" si="6"/>
        <v>3120.75</v>
      </c>
      <c r="E74" s="348">
        <f t="shared" si="7"/>
        <v>34328.25</v>
      </c>
      <c r="H74" s="365">
        <v>29522.48</v>
      </c>
      <c r="I74" s="365">
        <f>H74*0.2</f>
        <v>5904.4960000000001</v>
      </c>
      <c r="J74" s="365">
        <f>SUM(H74:I74)</f>
        <v>35426.976000000002</v>
      </c>
    </row>
    <row r="75" spans="2:10" ht="20.399999999999999" customHeight="1" thickTop="1" thickBot="1" x14ac:dyDescent="0.35">
      <c r="B75" s="347" t="str">
        <f>'ŞİRKET ARAÇ'!C31</f>
        <v>54 S 1773</v>
      </c>
      <c r="C75" s="348">
        <f>'ŞİRKET ARAÇ'!G31</f>
        <v>46811.25</v>
      </c>
      <c r="D75" s="348">
        <f t="shared" si="6"/>
        <v>4681.125</v>
      </c>
      <c r="E75" s="348">
        <f t="shared" si="7"/>
        <v>51492.375</v>
      </c>
      <c r="H75" s="365">
        <v>4224.16</v>
      </c>
      <c r="I75" s="365">
        <f>H75*0.2</f>
        <v>844.83199999999999</v>
      </c>
      <c r="J75" s="365">
        <f>SUM(H75:I75)</f>
        <v>5068.9920000000002</v>
      </c>
    </row>
    <row r="76" spans="2:10" ht="18" thickTop="1" thickBot="1" x14ac:dyDescent="0.35">
      <c r="B76" s="347" t="str">
        <f>'ŞİRKET ARAÇ'!C32</f>
        <v>54 S 0857</v>
      </c>
      <c r="C76" s="348">
        <f>'ŞİRKET ARAÇ'!G32</f>
        <v>15603.75</v>
      </c>
      <c r="D76" s="348">
        <f t="shared" si="6"/>
        <v>1560.375</v>
      </c>
      <c r="E76" s="348">
        <f t="shared" si="7"/>
        <v>17164.125</v>
      </c>
      <c r="H76" s="365">
        <f>SUM(H72:H75)</f>
        <v>75284.94</v>
      </c>
      <c r="I76" s="365">
        <f t="shared" ref="I76:J76" si="8">SUM(I72:I75)</f>
        <v>15056.987999999999</v>
      </c>
      <c r="J76" s="365">
        <f t="shared" si="8"/>
        <v>90341.928</v>
      </c>
    </row>
    <row r="77" spans="2:10" ht="18" thickTop="1" thickBot="1" x14ac:dyDescent="0.35">
      <c r="B77" s="347" t="str">
        <f>'ŞİRKET ARAÇ'!C33</f>
        <v>54 S 1194</v>
      </c>
      <c r="C77" s="348">
        <f>'ŞİRKET ARAÇ'!G33</f>
        <v>46811.25</v>
      </c>
      <c r="D77" s="348">
        <f t="shared" si="6"/>
        <v>4681.125</v>
      </c>
      <c r="E77" s="348">
        <f t="shared" si="7"/>
        <v>51492.375</v>
      </c>
    </row>
    <row r="78" spans="2:10" ht="18" thickTop="1" thickBot="1" x14ac:dyDescent="0.35">
      <c r="B78" s="347" t="str">
        <f>'ŞİRKET ARAÇ'!C34</f>
        <v>54 S 0572</v>
      </c>
      <c r="C78" s="348">
        <f>'ŞİRKET ARAÇ'!G34</f>
        <v>15603.75</v>
      </c>
      <c r="D78" s="348">
        <f t="shared" si="6"/>
        <v>1560.375</v>
      </c>
      <c r="E78" s="348">
        <f t="shared" si="7"/>
        <v>17164.125</v>
      </c>
    </row>
    <row r="79" spans="2:10" ht="18" thickTop="1" thickBot="1" x14ac:dyDescent="0.35">
      <c r="B79" s="349" t="str">
        <f>'ŞİRKET ARAÇ'!C35</f>
        <v>54 S 2295</v>
      </c>
      <c r="C79" s="350">
        <f>'ŞİRKET ARAÇ'!G35</f>
        <v>15603.75</v>
      </c>
      <c r="D79" s="348">
        <f t="shared" si="6"/>
        <v>1560.375</v>
      </c>
      <c r="E79" s="348">
        <f t="shared" si="7"/>
        <v>17164.125</v>
      </c>
    </row>
    <row r="80" spans="2:10" ht="18" hidden="1" thickTop="1" thickBot="1" x14ac:dyDescent="0.35">
      <c r="B80" s="349" t="str">
        <f>'ŞİRKET ARAÇ'!C36</f>
        <v>54 S1773</v>
      </c>
      <c r="C80" s="350">
        <f>'ŞİRKET ARAÇ'!G36</f>
        <v>0</v>
      </c>
      <c r="D80" s="348">
        <f t="shared" si="6"/>
        <v>0</v>
      </c>
      <c r="E80" s="348">
        <f t="shared" si="7"/>
        <v>0</v>
      </c>
    </row>
    <row r="81" spans="2:10" ht="18" thickTop="1" thickBot="1" x14ac:dyDescent="0.35">
      <c r="B81" s="369" t="s">
        <v>3</v>
      </c>
      <c r="C81" s="370">
        <f>SUM(C70:C80)</f>
        <v>313452.5</v>
      </c>
      <c r="D81" s="370">
        <f>SUM(D70:D80)</f>
        <v>31345.25</v>
      </c>
      <c r="E81" s="370">
        <f>SUM(E70:E80)</f>
        <v>344797.75</v>
      </c>
    </row>
    <row r="82" spans="2:10" ht="17.399999999999999" thickTop="1" x14ac:dyDescent="0.3">
      <c r="C82" s="353"/>
      <c r="D82" s="353"/>
      <c r="E82" s="353"/>
    </row>
    <row r="83" spans="2:10" x14ac:dyDescent="0.3">
      <c r="C83" s="339"/>
      <c r="D83" s="339"/>
    </row>
    <row r="84" spans="2:10" x14ac:dyDescent="0.3">
      <c r="C84" s="339"/>
      <c r="D84" s="339"/>
    </row>
    <row r="85" spans="2:10" ht="17.399999999999999" thickBot="1" x14ac:dyDescent="0.35">
      <c r="B85" s="371" t="s">
        <v>178</v>
      </c>
      <c r="C85" s="342" t="s">
        <v>175</v>
      </c>
      <c r="D85" s="342" t="s">
        <v>176</v>
      </c>
      <c r="E85" s="342" t="s">
        <v>177</v>
      </c>
    </row>
    <row r="86" spans="2:10" ht="18.75" customHeight="1" thickTop="1" thickBot="1" x14ac:dyDescent="0.35">
      <c r="B86" s="351" t="s">
        <v>172</v>
      </c>
      <c r="C86" s="352">
        <f>C81</f>
        <v>313452.5</v>
      </c>
      <c r="D86" s="352">
        <f>D81</f>
        <v>31345.25</v>
      </c>
      <c r="E86" s="352">
        <f>E81</f>
        <v>344797.75</v>
      </c>
    </row>
    <row r="87" spans="2:10" ht="18.75" customHeight="1" thickTop="1" thickBot="1" x14ac:dyDescent="0.35">
      <c r="B87" s="351"/>
      <c r="C87" s="352"/>
      <c r="D87" s="352"/>
      <c r="E87" s="352"/>
    </row>
    <row r="88" spans="2:10" ht="18.75" customHeight="1" thickTop="1" thickBot="1" x14ac:dyDescent="0.35">
      <c r="B88" s="351" t="s">
        <v>173</v>
      </c>
      <c r="C88" s="352">
        <f>C58-C64-C81</f>
        <v>185249.51</v>
      </c>
      <c r="D88" s="352">
        <f>D58-D64-D81</f>
        <v>46549.91</v>
      </c>
      <c r="E88" s="352">
        <f>E58-E64-E81</f>
        <v>231799.42000000004</v>
      </c>
    </row>
    <row r="89" spans="2:10" ht="18.75" customHeight="1" thickTop="1" thickBot="1" x14ac:dyDescent="0.35">
      <c r="B89" s="372"/>
      <c r="C89" s="373"/>
      <c r="D89" s="373"/>
      <c r="E89" s="373"/>
    </row>
    <row r="90" spans="2:10" ht="18" thickTop="1" thickBot="1" x14ac:dyDescent="0.35">
      <c r="B90" s="374" t="s">
        <v>174</v>
      </c>
      <c r="C90" s="374">
        <f>SUM(C86:C88)</f>
        <v>498702.01</v>
      </c>
      <c r="D90" s="374">
        <f>SUM(D86:D88)</f>
        <v>77895.16</v>
      </c>
      <c r="E90" s="374">
        <f>SUM(E86:E88)</f>
        <v>576597.17000000004</v>
      </c>
    </row>
    <row r="91" spans="2:10" ht="17.399999999999999" thickTop="1" x14ac:dyDescent="0.3"/>
    <row r="92" spans="2:10" x14ac:dyDescent="0.3">
      <c r="B92" s="375"/>
      <c r="C92" s="376"/>
      <c r="D92" s="376"/>
      <c r="E92" s="376"/>
    </row>
    <row r="93" spans="2:10" ht="17.399999999999999" thickBot="1" x14ac:dyDescent="0.35"/>
    <row r="94" spans="2:10" s="326" customFormat="1" ht="18" thickTop="1" thickBot="1" x14ac:dyDescent="0.35">
      <c r="B94" s="359" t="s">
        <v>56</v>
      </c>
      <c r="C94" s="360" t="s">
        <v>30</v>
      </c>
      <c r="D94" s="360" t="s">
        <v>31</v>
      </c>
      <c r="E94" s="360" t="s">
        <v>32</v>
      </c>
      <c r="H94" s="357"/>
      <c r="I94" s="357"/>
      <c r="J94" s="357"/>
    </row>
    <row r="95" spans="2:10" s="326" customFormat="1" ht="18" thickTop="1" thickBot="1" x14ac:dyDescent="0.35">
      <c r="B95" s="361" t="s">
        <v>573</v>
      </c>
      <c r="C95" s="360">
        <f>H70</f>
        <v>1267500</v>
      </c>
      <c r="D95" s="360">
        <f>I70</f>
        <v>126750</v>
      </c>
      <c r="E95" s="360">
        <f>SUM(C95:D95)</f>
        <v>1394250</v>
      </c>
      <c r="H95" s="357">
        <v>378450</v>
      </c>
      <c r="I95" s="357">
        <f>H95*0.1</f>
        <v>37845</v>
      </c>
      <c r="J95" s="357"/>
    </row>
    <row r="96" spans="2:10" ht="18" thickTop="1" thickBot="1" x14ac:dyDescent="0.35">
      <c r="B96" s="543"/>
      <c r="C96" s="544"/>
      <c r="D96" s="544"/>
      <c r="E96" s="545"/>
      <c r="H96" s="365">
        <v>420500</v>
      </c>
      <c r="I96" s="357">
        <f>H96*0.1</f>
        <v>42050</v>
      </c>
    </row>
    <row r="97" spans="2:10" ht="18" thickTop="1" thickBot="1" x14ac:dyDescent="0.35">
      <c r="B97" s="377" t="str">
        <f>'YÜKLENİCİ ARAÇLARI'!C70</f>
        <v>YILDIRIM KARDEŞLER</v>
      </c>
      <c r="C97" s="378">
        <f>'YÜKLENİCİ ARAÇLARI'!H70+'YÜKLENİCİ ARAÇLARI'!H71+'YÜKLENİCİ ARAÇLARI'!H72+'YÜKLENİCİ ARAÇLARI'!H73+'YÜKLENİCİ ARAÇLARI'!H74</f>
        <v>142630</v>
      </c>
      <c r="D97" s="378">
        <f>'YÜKLENİCİ ARAÇLARI'!I70+'YÜKLENİCİ ARAÇLARI'!I71+'YÜKLENİCİ ARAÇLARI'!I72+'YÜKLENİCİ ARAÇLARI'!I73+'YÜKLENİCİ ARAÇLARI'!I74</f>
        <v>28526</v>
      </c>
      <c r="E97" s="378">
        <f>'YÜKLENİCİ ARAÇLARI'!J70+'YÜKLENİCİ ARAÇLARI'!J71+'YÜKLENİCİ ARAÇLARI'!J72+'YÜKLENİCİ ARAÇLARI'!J73+'YÜKLENİCİ ARAÇLARI'!J74</f>
        <v>171156</v>
      </c>
      <c r="H97" s="365">
        <v>378450</v>
      </c>
      <c r="I97" s="357">
        <f>H97*0.1</f>
        <v>37845</v>
      </c>
    </row>
    <row r="98" spans="2:10" ht="18" thickTop="1" thickBot="1" x14ac:dyDescent="0.35">
      <c r="B98" s="379" t="str">
        <f>'YÜKLENİCİ ARAÇLARI'!C75</f>
        <v>ÖZCAN KURT</v>
      </c>
      <c r="C98" s="364">
        <f>'YÜKLENİCİ ARAÇLARI'!H75</f>
        <v>40050</v>
      </c>
      <c r="D98" s="364">
        <f>'YÜKLENİCİ ARAÇLARI'!I75</f>
        <v>8010</v>
      </c>
      <c r="E98" s="364">
        <f>'YÜKLENİCİ ARAÇLARI'!J75</f>
        <v>48060</v>
      </c>
      <c r="H98" s="365">
        <f>SUM(H95:H97)</f>
        <v>1177400</v>
      </c>
      <c r="I98" s="365">
        <f>SUM(I95:I97)</f>
        <v>117740</v>
      </c>
      <c r="J98" s="365">
        <f>SUM(H98:I98)</f>
        <v>1295140</v>
      </c>
    </row>
    <row r="99" spans="2:10" ht="22.95" customHeight="1" thickTop="1" thickBot="1" x14ac:dyDescent="0.35">
      <c r="B99" s="380" t="s">
        <v>184</v>
      </c>
      <c r="C99" s="381">
        <f>SUM(C97:C98)</f>
        <v>182680</v>
      </c>
      <c r="D99" s="381">
        <f>SUM(D97:D98)</f>
        <v>36536</v>
      </c>
      <c r="E99" s="382">
        <f>SUM(E97:E98)</f>
        <v>219216</v>
      </c>
      <c r="J99" s="365">
        <f>J98+J64</f>
        <v>2299237.17</v>
      </c>
    </row>
    <row r="100" spans="2:10" ht="17.25" customHeight="1" thickTop="1" x14ac:dyDescent="0.3">
      <c r="C100" s="383"/>
      <c r="D100" s="383"/>
      <c r="E100" s="383"/>
      <c r="J100" s="365">
        <f>J56</f>
        <v>0</v>
      </c>
    </row>
    <row r="101" spans="2:10" x14ac:dyDescent="0.3">
      <c r="C101" s="339"/>
      <c r="D101" s="339"/>
      <c r="J101" s="365">
        <f>SUM(J99:J100)</f>
        <v>2299237.17</v>
      </c>
    </row>
    <row r="102" spans="2:10" ht="17.399999999999999" thickBot="1" x14ac:dyDescent="0.35">
      <c r="B102" s="384"/>
      <c r="C102" s="356" t="s">
        <v>30</v>
      </c>
      <c r="D102" s="356" t="s">
        <v>31</v>
      </c>
      <c r="E102" s="356" t="s">
        <v>3</v>
      </c>
    </row>
    <row r="103" spans="2:10" ht="18" thickTop="1" thickBot="1" x14ac:dyDescent="0.35">
      <c r="B103" s="385" t="s">
        <v>249</v>
      </c>
      <c r="C103" s="344">
        <f>C95-C99</f>
        <v>1084820</v>
      </c>
      <c r="D103" s="344">
        <f t="shared" ref="D103:E103" si="9">D95-D99</f>
        <v>90214</v>
      </c>
      <c r="E103" s="344">
        <f t="shared" si="9"/>
        <v>1175034</v>
      </c>
    </row>
    <row r="104" spans="2:10" ht="17.399999999999999" thickTop="1" x14ac:dyDescent="0.3">
      <c r="C104" s="339"/>
      <c r="D104" s="339"/>
    </row>
    <row r="105" spans="2:10" x14ac:dyDescent="0.3">
      <c r="C105" s="339"/>
      <c r="D105" s="339"/>
    </row>
    <row r="106" spans="2:10" x14ac:dyDescent="0.3">
      <c r="C106" s="339"/>
      <c r="D106" s="339"/>
    </row>
    <row r="107" spans="2:10" ht="17.399999999999999" thickBot="1" x14ac:dyDescent="0.35">
      <c r="B107" s="355" t="s">
        <v>178</v>
      </c>
      <c r="C107" s="356" t="s">
        <v>175</v>
      </c>
      <c r="D107" s="356" t="s">
        <v>176</v>
      </c>
      <c r="E107" s="356" t="s">
        <v>177</v>
      </c>
    </row>
    <row r="108" spans="2:10" s="326" customFormat="1" ht="18.75" customHeight="1" thickTop="1" thickBot="1" x14ac:dyDescent="0.35">
      <c r="B108" s="351" t="s">
        <v>172</v>
      </c>
      <c r="C108" s="352">
        <f>'ŞİRKET ARAÇ'!G64</f>
        <v>1030500</v>
      </c>
      <c r="D108" s="352"/>
      <c r="E108" s="352">
        <f>SUM(C108:D108)</f>
        <v>1030500</v>
      </c>
      <c r="H108" s="357"/>
      <c r="I108" s="357"/>
      <c r="J108" s="357"/>
    </row>
    <row r="109" spans="2:10" s="326" customFormat="1" ht="18.75" customHeight="1" thickTop="1" thickBot="1" x14ac:dyDescent="0.35">
      <c r="B109" s="351"/>
      <c r="C109" s="352"/>
      <c r="D109" s="352"/>
      <c r="E109" s="352"/>
      <c r="H109" s="357"/>
      <c r="I109" s="357"/>
      <c r="J109" s="357"/>
    </row>
    <row r="110" spans="2:10" s="326" customFormat="1" ht="18.75" customHeight="1" thickTop="1" thickBot="1" x14ac:dyDescent="0.35">
      <c r="B110" s="351" t="s">
        <v>173</v>
      </c>
      <c r="C110" s="352">
        <f>C95-C108-C99</f>
        <v>54320</v>
      </c>
      <c r="D110" s="352">
        <f>D95-D108-D99</f>
        <v>90214</v>
      </c>
      <c r="E110" s="352">
        <f>SUM(C110:D110)</f>
        <v>144534</v>
      </c>
      <c r="H110" s="357"/>
      <c r="I110" s="357"/>
      <c r="J110" s="357"/>
    </row>
    <row r="111" spans="2:10" s="326" customFormat="1" ht="18.75" customHeight="1" thickTop="1" thickBot="1" x14ac:dyDescent="0.35">
      <c r="B111" s="351"/>
      <c r="C111" s="352"/>
      <c r="D111" s="352"/>
      <c r="E111" s="352"/>
      <c r="H111" s="357"/>
      <c r="I111" s="357"/>
      <c r="J111" s="357"/>
    </row>
    <row r="112" spans="2:10" ht="18.75" customHeight="1" thickTop="1" thickBot="1" x14ac:dyDescent="0.35">
      <c r="B112" s="334"/>
      <c r="C112" s="336"/>
      <c r="D112" s="336"/>
      <c r="E112" s="336"/>
    </row>
    <row r="113" spans="2:10" ht="24" customHeight="1" thickTop="1" thickBot="1" x14ac:dyDescent="0.65">
      <c r="B113" s="386" t="s">
        <v>3</v>
      </c>
      <c r="C113" s="387">
        <f>SUM(C108:C112)</f>
        <v>1084820</v>
      </c>
      <c r="D113" s="387">
        <f>SUM(D108:D112)</f>
        <v>90214</v>
      </c>
      <c r="E113" s="387">
        <f>SUM(E108:E112)</f>
        <v>1175034</v>
      </c>
    </row>
    <row r="114" spans="2:10" ht="17.25" customHeight="1" thickTop="1" x14ac:dyDescent="0.3">
      <c r="C114" s="383"/>
      <c r="D114" s="383"/>
      <c r="E114" s="383"/>
    </row>
    <row r="115" spans="2:10" ht="17.25" customHeight="1" x14ac:dyDescent="0.3">
      <c r="B115" s="375"/>
      <c r="C115" s="388"/>
      <c r="D115" s="388"/>
      <c r="E115" s="388"/>
    </row>
    <row r="116" spans="2:10" ht="17.399999999999999" thickBot="1" x14ac:dyDescent="0.35"/>
    <row r="117" spans="2:10" s="326" customFormat="1" ht="18" thickTop="1" thickBot="1" x14ac:dyDescent="0.35">
      <c r="B117" s="359" t="s">
        <v>314</v>
      </c>
      <c r="C117" s="360" t="s">
        <v>30</v>
      </c>
      <c r="D117" s="360" t="s">
        <v>31</v>
      </c>
      <c r="E117" s="360" t="s">
        <v>32</v>
      </c>
      <c r="H117" s="357"/>
      <c r="I117" s="357"/>
      <c r="J117" s="357"/>
    </row>
    <row r="118" spans="2:10" s="326" customFormat="1" ht="18" thickTop="1" thickBot="1" x14ac:dyDescent="0.35">
      <c r="B118" s="361" t="s">
        <v>573</v>
      </c>
      <c r="C118" s="360">
        <f>[4]HAZİRAN!$C$25+[4]HAZİRAN!$C$26</f>
        <v>1057145</v>
      </c>
      <c r="D118" s="360">
        <f>[4]HAZİRAN!$D$25+[4]HAZİRAN!$D$26</f>
        <v>186293.5</v>
      </c>
      <c r="E118" s="360">
        <f>SUM(C118:D118)</f>
        <v>1243438.5</v>
      </c>
      <c r="H118" s="357"/>
      <c r="I118" s="357"/>
      <c r="J118" s="357"/>
    </row>
    <row r="119" spans="2:10" s="392" customFormat="1" ht="18" thickTop="1" thickBot="1" x14ac:dyDescent="0.35">
      <c r="B119" s="389"/>
      <c r="C119" s="390"/>
      <c r="D119" s="390"/>
      <c r="E119" s="391"/>
      <c r="H119" s="472"/>
      <c r="I119" s="472"/>
      <c r="J119" s="472"/>
    </row>
    <row r="120" spans="2:10" ht="27.6" customHeight="1" thickTop="1" thickBot="1" x14ac:dyDescent="0.35">
      <c r="B120" s="576" t="s">
        <v>171</v>
      </c>
      <c r="C120" s="577"/>
      <c r="D120" s="577"/>
      <c r="E120" s="578"/>
    </row>
    <row r="121" spans="2:10" ht="18" thickTop="1" thickBot="1" x14ac:dyDescent="0.35">
      <c r="B121" s="332" t="str">
        <f>'YÜKLENİCİ ARAÇLARI'!C79</f>
        <v>UFUK KÖYMEN</v>
      </c>
      <c r="C121" s="363">
        <f>'YÜKLENİCİ ARAÇLARI'!H79+'YÜKLENİCİ ARAÇLARI'!H80</f>
        <v>86500</v>
      </c>
      <c r="D121" s="363">
        <f>'YÜKLENİCİ ARAÇLARI'!I79+'YÜKLENİCİ ARAÇLARI'!I80</f>
        <v>17300</v>
      </c>
      <c r="E121" s="363">
        <f>'YÜKLENİCİ ARAÇLARI'!J79+'YÜKLENİCİ ARAÇLARI'!J80</f>
        <v>103800</v>
      </c>
    </row>
    <row r="122" spans="2:10" ht="18" thickTop="1" thickBot="1" x14ac:dyDescent="0.35">
      <c r="B122" s="332" t="str">
        <f>'YÜKLENİCİ ARAÇLARI'!C82</f>
        <v>AHMET ATABEK</v>
      </c>
      <c r="C122" s="364">
        <f>'YÜKLENİCİ ARAÇLARI'!H82+'YÜKLENİCİ ARAÇLARI'!H83</f>
        <v>55000</v>
      </c>
      <c r="D122" s="364">
        <f>'YÜKLENİCİ ARAÇLARI'!I82+'YÜKLENİCİ ARAÇLARI'!I83</f>
        <v>11000</v>
      </c>
      <c r="E122" s="364">
        <f>'YÜKLENİCİ ARAÇLARI'!J82+'YÜKLENİCİ ARAÇLARI'!J83</f>
        <v>66000</v>
      </c>
    </row>
    <row r="123" spans="2:10" ht="18" thickTop="1" thickBot="1" x14ac:dyDescent="0.35">
      <c r="B123" s="393" t="str">
        <f>'YÜKLENİCİ ARAÇLARI'!C84</f>
        <v>HALİL BÜYÜKTANZİM</v>
      </c>
      <c r="C123" s="364">
        <f>'YÜKLENİCİ ARAÇLARI'!H84+'YÜKLENİCİ ARAÇLARI'!H85</f>
        <v>67000</v>
      </c>
      <c r="D123" s="364">
        <f>'YÜKLENİCİ ARAÇLARI'!I84+'YÜKLENİCİ ARAÇLARI'!I85</f>
        <v>13400</v>
      </c>
      <c r="E123" s="364">
        <f>'YÜKLENİCİ ARAÇLARI'!J84+'YÜKLENİCİ ARAÇLARI'!J85</f>
        <v>80400</v>
      </c>
    </row>
    <row r="124" spans="2:10" ht="18" thickTop="1" thickBot="1" x14ac:dyDescent="0.35">
      <c r="B124" s="393" t="str">
        <f>'YÜKLENİCİ ARAÇLARI'!C86</f>
        <v>ESRA YILMAZ ÖRCÜN dursun yılmaz</v>
      </c>
      <c r="C124" s="364">
        <f>'YÜKLENİCİ ARAÇLARI'!H86+'YÜKLENİCİ ARAÇLARI'!H87</f>
        <v>57360</v>
      </c>
      <c r="D124" s="364">
        <f>'YÜKLENİCİ ARAÇLARI'!I86+'YÜKLENİCİ ARAÇLARI'!I87</f>
        <v>11472</v>
      </c>
      <c r="E124" s="364">
        <f>'YÜKLENİCİ ARAÇLARI'!J86+'YÜKLENİCİ ARAÇLARI'!J87</f>
        <v>68832</v>
      </c>
    </row>
    <row r="125" spans="2:10" ht="18" thickTop="1" thickBot="1" x14ac:dyDescent="0.35">
      <c r="B125" s="393" t="str">
        <f>'YÜKLENİCİ ARAÇLARI'!C88</f>
        <v>ADİL YILMAZ</v>
      </c>
      <c r="C125" s="364">
        <f>'YÜKLENİCİ ARAÇLARI'!H88</f>
        <v>38700</v>
      </c>
      <c r="D125" s="364">
        <f>'YÜKLENİCİ ARAÇLARI'!I88</f>
        <v>7740</v>
      </c>
      <c r="E125" s="364">
        <f>'YÜKLENİCİ ARAÇLARI'!J88</f>
        <v>46440</v>
      </c>
    </row>
    <row r="126" spans="2:10" ht="18" thickTop="1" thickBot="1" x14ac:dyDescent="0.35">
      <c r="B126" s="393" t="str">
        <f>'YÜKLENİCİ ARAÇLARI'!C89</f>
        <v>MUSTAFA KARAGÜZEL</v>
      </c>
      <c r="C126" s="364">
        <f>'YÜKLENİCİ ARAÇLARI'!H89+'YÜKLENİCİ ARAÇLARI'!H90+'YÜKLENİCİ ARAÇLARI'!H91+'YÜKLENİCİ ARAÇLARI'!H92+'YÜKLENİCİ ARAÇLARI'!H95+'YÜKLENİCİ ARAÇLARI'!H96+'YÜKLENİCİ ARAÇLARI'!H97+'YÜKLENİCİ ARAÇLARI'!H98+'YÜKLENİCİ ARAÇLARI'!H99</f>
        <v>186200</v>
      </c>
      <c r="D126" s="364">
        <f>'YÜKLENİCİ ARAÇLARI'!I89+'YÜKLENİCİ ARAÇLARI'!I90+'YÜKLENİCİ ARAÇLARI'!I91+'YÜKLENİCİ ARAÇLARI'!I92+'YÜKLENİCİ ARAÇLARI'!I95+'YÜKLENİCİ ARAÇLARI'!I96+'YÜKLENİCİ ARAÇLARI'!I97+'YÜKLENİCİ ARAÇLARI'!I98+'YÜKLENİCİ ARAÇLARI'!I99</f>
        <v>37240</v>
      </c>
      <c r="E126" s="364">
        <f>'YÜKLENİCİ ARAÇLARI'!J89+'YÜKLENİCİ ARAÇLARI'!J90+'YÜKLENİCİ ARAÇLARI'!J91+'YÜKLENİCİ ARAÇLARI'!J92+'YÜKLENİCİ ARAÇLARI'!J95+'YÜKLENİCİ ARAÇLARI'!J96+'YÜKLENİCİ ARAÇLARI'!J97+'YÜKLENİCİ ARAÇLARI'!J98+'YÜKLENİCİ ARAÇLARI'!J99</f>
        <v>223440</v>
      </c>
    </row>
    <row r="127" spans="2:10" ht="18" thickTop="1" thickBot="1" x14ac:dyDescent="0.35">
      <c r="B127" s="393" t="str">
        <f>'YÜKLENİCİ ARAÇLARI'!C93</f>
        <v>BAYRAM YILMAZ</v>
      </c>
      <c r="C127" s="364">
        <f>'YÜKLENİCİ ARAÇLARI'!H93+'YÜKLENİCİ ARAÇLARI'!H94</f>
        <v>74900</v>
      </c>
      <c r="D127" s="364">
        <f>'YÜKLENİCİ ARAÇLARI'!I93+'YÜKLENİCİ ARAÇLARI'!I94</f>
        <v>14980</v>
      </c>
      <c r="E127" s="364">
        <f>'YÜKLENİCİ ARAÇLARI'!J93+'YÜKLENİCİ ARAÇLARI'!J94</f>
        <v>89880</v>
      </c>
    </row>
    <row r="128" spans="2:10" ht="18" thickTop="1" thickBot="1" x14ac:dyDescent="0.35">
      <c r="B128" s="393" t="str">
        <f>'YÜKLENİCİ ARAÇLARI'!C100</f>
        <v>GÖKHAN IŞIK</v>
      </c>
      <c r="C128" s="364">
        <f>'YÜKLENİCİ ARAÇLARI'!H100+'YÜKLENİCİ ARAÇLARI'!H101</f>
        <v>71525</v>
      </c>
      <c r="D128" s="364">
        <f>'YÜKLENİCİ ARAÇLARI'!I100+'YÜKLENİCİ ARAÇLARI'!I101</f>
        <v>14305</v>
      </c>
      <c r="E128" s="364">
        <f>'YÜKLENİCİ ARAÇLARI'!J100+'YÜKLENİCİ ARAÇLARI'!J101</f>
        <v>85830</v>
      </c>
    </row>
    <row r="129" spans="2:10" ht="18" hidden="1" thickTop="1" thickBot="1" x14ac:dyDescent="0.35">
      <c r="B129" s="393" t="e">
        <f>#REF!</f>
        <v>#REF!</v>
      </c>
      <c r="C129" s="364" t="e">
        <f>#REF!</f>
        <v>#REF!</v>
      </c>
      <c r="D129" s="364" t="e">
        <f>#REF!</f>
        <v>#REF!</v>
      </c>
      <c r="E129" s="364" t="e">
        <f>#REF!</f>
        <v>#REF!</v>
      </c>
    </row>
    <row r="130" spans="2:10" ht="18" hidden="1" thickTop="1" thickBot="1" x14ac:dyDescent="0.35">
      <c r="B130" s="393" t="e">
        <f>#REF!</f>
        <v>#REF!</v>
      </c>
      <c r="C130" s="364" t="e">
        <f>#REF!</f>
        <v>#REF!</v>
      </c>
      <c r="D130" s="364" t="e">
        <f>#REF!</f>
        <v>#REF!</v>
      </c>
      <c r="E130" s="364" t="e">
        <f>#REF!</f>
        <v>#REF!</v>
      </c>
    </row>
    <row r="131" spans="2:10" ht="18" hidden="1" thickTop="1" thickBot="1" x14ac:dyDescent="0.35">
      <c r="B131" s="393" t="e">
        <f>#REF!</f>
        <v>#REF!</v>
      </c>
      <c r="C131" s="364" t="e">
        <f>#REF!</f>
        <v>#REF!</v>
      </c>
      <c r="D131" s="364" t="e">
        <f>#REF!</f>
        <v>#REF!</v>
      </c>
      <c r="E131" s="364" t="e">
        <f>#REF!</f>
        <v>#REF!</v>
      </c>
    </row>
    <row r="132" spans="2:10" ht="18" thickTop="1" thickBot="1" x14ac:dyDescent="0.35">
      <c r="B132" s="393"/>
      <c r="C132" s="364"/>
      <c r="D132" s="364"/>
      <c r="E132" s="364"/>
    </row>
    <row r="133" spans="2:10" ht="21.75" customHeight="1" thickTop="1" thickBot="1" x14ac:dyDescent="0.35">
      <c r="B133" s="394" t="s">
        <v>529</v>
      </c>
      <c r="C133" s="395">
        <f>C121+C122+C123+C124+C125+C126+C127+C128+C132</f>
        <v>637185</v>
      </c>
      <c r="D133" s="395">
        <f t="shared" ref="D133:E133" si="10">D121+D122+D123+D124+D125+D126+D127+D128+D132</f>
        <v>127437</v>
      </c>
      <c r="E133" s="395">
        <f t="shared" si="10"/>
        <v>764622</v>
      </c>
    </row>
    <row r="134" spans="2:10" ht="17.25" customHeight="1" thickTop="1" thickBot="1" x14ac:dyDescent="0.35">
      <c r="C134" s="383"/>
      <c r="D134" s="383"/>
      <c r="E134" s="383"/>
    </row>
    <row r="135" spans="2:10" s="326" customFormat="1" ht="18" thickTop="1" thickBot="1" x14ac:dyDescent="0.35">
      <c r="B135" s="369" t="s">
        <v>204</v>
      </c>
      <c r="C135" s="396">
        <f>C118-C133</f>
        <v>419960</v>
      </c>
      <c r="D135" s="396">
        <f>D118-D133</f>
        <v>58856.5</v>
      </c>
      <c r="E135" s="396">
        <f>E118-E133</f>
        <v>478816.5</v>
      </c>
      <c r="H135" s="357"/>
      <c r="I135" s="357"/>
      <c r="J135" s="357"/>
    </row>
    <row r="136" spans="2:10" ht="17.25" customHeight="1" thickTop="1" x14ac:dyDescent="0.3">
      <c r="C136" s="383"/>
      <c r="D136" s="383"/>
      <c r="E136" s="383"/>
    </row>
    <row r="137" spans="2:10" ht="17.399999999999999" thickBot="1" x14ac:dyDescent="0.35"/>
    <row r="138" spans="2:10" ht="18" thickTop="1" thickBot="1" x14ac:dyDescent="0.35">
      <c r="B138" s="579" t="s">
        <v>182</v>
      </c>
      <c r="C138" s="580"/>
      <c r="D138" s="580"/>
      <c r="E138" s="581"/>
    </row>
    <row r="139" spans="2:10" ht="18" thickTop="1" thickBot="1" x14ac:dyDescent="0.35">
      <c r="B139" s="397" t="s">
        <v>181</v>
      </c>
      <c r="C139" s="398" t="s">
        <v>30</v>
      </c>
      <c r="D139" s="398" t="s">
        <v>31</v>
      </c>
      <c r="E139" s="398" t="s">
        <v>32</v>
      </c>
    </row>
    <row r="140" spans="2:10" ht="18" thickTop="1" thickBot="1" x14ac:dyDescent="0.35">
      <c r="B140" s="347" t="str">
        <f>'ŞİRKET ARAÇ'!C80</f>
        <v>54 S 0855</v>
      </c>
      <c r="C140" s="399">
        <f>'ŞİRKET ARAÇ'!G79+'ŞİRKET ARAÇ'!G80</f>
        <v>68600</v>
      </c>
      <c r="D140" s="399">
        <f>'ŞİRKET ARAÇ'!H79+'ŞİRKET ARAÇ'!H80</f>
        <v>13720</v>
      </c>
      <c r="E140" s="399">
        <f>'ŞİRKET ARAÇ'!I79+'ŞİRKET ARAÇ'!I80</f>
        <v>82320</v>
      </c>
    </row>
    <row r="141" spans="2:10" ht="18" thickTop="1" thickBot="1" x14ac:dyDescent="0.35">
      <c r="B141" s="347" t="str">
        <f>'ŞİRKET ARAÇ'!C81</f>
        <v>54 S  0856</v>
      </c>
      <c r="C141" s="400">
        <f>'ŞİRKET ARAÇ'!G81+'ŞİRKET ARAÇ'!G82</f>
        <v>31275</v>
      </c>
      <c r="D141" s="400">
        <f>'ŞİRKET ARAÇ'!H81+'ŞİRKET ARAÇ'!H82</f>
        <v>6255</v>
      </c>
      <c r="E141" s="400">
        <f>'ŞİRKET ARAÇ'!I81+'ŞİRKET ARAÇ'!I82</f>
        <v>37530</v>
      </c>
    </row>
    <row r="142" spans="2:10" ht="18" thickTop="1" thickBot="1" x14ac:dyDescent="0.35">
      <c r="B142" s="401" t="str">
        <f>'ŞİRKET ARAÇ'!C89</f>
        <v>54 S 0858</v>
      </c>
      <c r="C142" s="400">
        <f>'ŞİRKET ARAÇ'!G89+'ŞİRKET ARAÇ'!G90</f>
        <v>53600</v>
      </c>
      <c r="D142" s="400">
        <f>'ŞİRKET ARAÇ'!H89+'ŞİRKET ARAÇ'!H90</f>
        <v>10720</v>
      </c>
      <c r="E142" s="400">
        <f>'ŞİRKET ARAÇ'!I89+'ŞİRKET ARAÇ'!I90</f>
        <v>64320</v>
      </c>
    </row>
    <row r="143" spans="2:10" ht="18" thickTop="1" thickBot="1" x14ac:dyDescent="0.35">
      <c r="B143" s="401" t="str">
        <f>'ŞİRKET ARAÇ'!C83</f>
        <v>54 S 0573</v>
      </c>
      <c r="C143" s="400">
        <f>'ŞİRKET ARAÇ'!G83+'ŞİRKET ARAÇ'!G84+'ŞİRKET ARAÇ'!G85+'ŞİRKET ARAÇ'!G86</f>
        <v>97880</v>
      </c>
      <c r="D143" s="400">
        <f>'ŞİRKET ARAÇ'!H83+'ŞİRKET ARAÇ'!H84+'ŞİRKET ARAÇ'!H85+'ŞİRKET ARAÇ'!H86</f>
        <v>19576</v>
      </c>
      <c r="E143" s="400">
        <f>'ŞİRKET ARAÇ'!I83+'ŞİRKET ARAÇ'!I84+'ŞİRKET ARAÇ'!I85+'ŞİRKET ARAÇ'!I86</f>
        <v>117456</v>
      </c>
    </row>
    <row r="144" spans="2:10" ht="18" thickTop="1" thickBot="1" x14ac:dyDescent="0.35">
      <c r="B144" s="401"/>
      <c r="C144" s="400"/>
      <c r="D144" s="400"/>
      <c r="E144" s="400"/>
    </row>
    <row r="145" spans="2:10" ht="18" thickTop="1" thickBot="1" x14ac:dyDescent="0.35">
      <c r="B145" s="402" t="s">
        <v>3</v>
      </c>
      <c r="C145" s="358">
        <f>SUM(C140:C143)</f>
        <v>251355</v>
      </c>
      <c r="D145" s="358">
        <f t="shared" ref="D145:E145" si="11">SUM(D140:D143)</f>
        <v>50271</v>
      </c>
      <c r="E145" s="358">
        <f t="shared" si="11"/>
        <v>301626</v>
      </c>
    </row>
    <row r="146" spans="2:10" ht="17.399999999999999" thickTop="1" x14ac:dyDescent="0.3">
      <c r="C146" s="353"/>
      <c r="D146" s="353"/>
      <c r="E146" s="353"/>
    </row>
    <row r="147" spans="2:10" x14ac:dyDescent="0.3">
      <c r="C147" s="339"/>
      <c r="D147" s="339"/>
    </row>
    <row r="148" spans="2:10" ht="17.399999999999999" thickBot="1" x14ac:dyDescent="0.35">
      <c r="B148" s="403" t="s">
        <v>178</v>
      </c>
      <c r="C148" s="404" t="s">
        <v>175</v>
      </c>
      <c r="D148" s="404" t="s">
        <v>176</v>
      </c>
      <c r="E148" s="404" t="s">
        <v>177</v>
      </c>
    </row>
    <row r="149" spans="2:10" ht="18.75" customHeight="1" thickTop="1" thickBot="1" x14ac:dyDescent="0.35">
      <c r="B149" s="334" t="s">
        <v>172</v>
      </c>
      <c r="C149" s="336">
        <f>C145</f>
        <v>251355</v>
      </c>
      <c r="D149" s="336">
        <f>D145</f>
        <v>50271</v>
      </c>
      <c r="E149" s="336">
        <f>E145</f>
        <v>301626</v>
      </c>
    </row>
    <row r="150" spans="2:10" ht="18.75" customHeight="1" thickTop="1" thickBot="1" x14ac:dyDescent="0.35">
      <c r="B150" s="334" t="s">
        <v>173</v>
      </c>
      <c r="C150" s="336">
        <f>C118-C133-C145</f>
        <v>168605</v>
      </c>
      <c r="D150" s="336">
        <f>D118-D133-D145</f>
        <v>8585.5</v>
      </c>
      <c r="E150" s="336">
        <f>E118-E133-E145</f>
        <v>177190.5</v>
      </c>
    </row>
    <row r="151" spans="2:10" ht="18" thickTop="1" thickBot="1" x14ac:dyDescent="0.35">
      <c r="B151" s="394" t="s">
        <v>186</v>
      </c>
      <c r="C151" s="395">
        <f>SUM(C149:C150)</f>
        <v>419960</v>
      </c>
      <c r="D151" s="395">
        <f t="shared" ref="D151:E151" si="12">SUM(D149:D150)</f>
        <v>58856.5</v>
      </c>
      <c r="E151" s="395">
        <f t="shared" si="12"/>
        <v>478816.5</v>
      </c>
    </row>
    <row r="152" spans="2:10" ht="17.399999999999999" thickTop="1" x14ac:dyDescent="0.3"/>
    <row r="155" spans="2:10" ht="17.399999999999999" thickBot="1" x14ac:dyDescent="0.35"/>
    <row r="156" spans="2:10" s="326" customFormat="1" ht="24" customHeight="1" thickTop="1" thickBot="1" x14ac:dyDescent="0.35">
      <c r="B156" s="405" t="s">
        <v>102</v>
      </c>
      <c r="C156" s="406" t="s">
        <v>30</v>
      </c>
      <c r="D156" s="406" t="s">
        <v>31</v>
      </c>
      <c r="E156" s="406" t="s">
        <v>32</v>
      </c>
      <c r="H156" s="357"/>
      <c r="I156" s="357"/>
      <c r="J156" s="357"/>
    </row>
    <row r="157" spans="2:10" s="326" customFormat="1" ht="24" customHeight="1" thickTop="1" thickBot="1" x14ac:dyDescent="0.35">
      <c r="B157" s="407" t="s">
        <v>573</v>
      </c>
      <c r="C157" s="406">
        <f>[4]HAZİRAN!$C$36+[4]HAZİRAN!$C$37</f>
        <v>1059550</v>
      </c>
      <c r="D157" s="406">
        <f>[4]HAZİRAN!$D$36+[4]HAZİRAN!$D$37</f>
        <v>211910</v>
      </c>
      <c r="E157" s="406">
        <f>SUM(C157:D157)</f>
        <v>1271460</v>
      </c>
      <c r="H157" s="357"/>
      <c r="I157" s="357"/>
      <c r="J157" s="357"/>
    </row>
    <row r="158" spans="2:10" ht="18" thickTop="1" thickBot="1" x14ac:dyDescent="0.35">
      <c r="B158" s="408"/>
      <c r="C158" s="409"/>
      <c r="D158" s="409"/>
      <c r="E158" s="409"/>
    </row>
    <row r="159" spans="2:10" ht="18" thickTop="1" thickBot="1" x14ac:dyDescent="0.35">
      <c r="B159" s="562" t="s">
        <v>187</v>
      </c>
      <c r="C159" s="563"/>
      <c r="D159" s="563"/>
      <c r="E159" s="564"/>
    </row>
    <row r="160" spans="2:10" ht="18" thickTop="1" thickBot="1" x14ac:dyDescent="0.35">
      <c r="B160" s="334" t="str">
        <f>'YÜKLENİCİ ARAÇLARI'!C105</f>
        <v>UFUK KÖYMEN</v>
      </c>
      <c r="C160" s="364">
        <f>'YÜKLENİCİ ARAÇLARI'!H105+'YÜKLENİCİ ARAÇLARI'!H106+'YÜKLENİCİ ARAÇLARI'!H107+'YÜKLENİCİ ARAÇLARI'!H108+'YÜKLENİCİ ARAÇLARI'!H109+'YÜKLENİCİ ARAÇLARI'!H110+'YÜKLENİCİ ARAÇLARI'!H111</f>
        <v>167150</v>
      </c>
      <c r="D160" s="364">
        <f>'YÜKLENİCİ ARAÇLARI'!I105+'YÜKLENİCİ ARAÇLARI'!I106+'YÜKLENİCİ ARAÇLARI'!I107+'YÜKLENİCİ ARAÇLARI'!I108+'YÜKLENİCİ ARAÇLARI'!I109+'YÜKLENİCİ ARAÇLARI'!I110+'YÜKLENİCİ ARAÇLARI'!I111</f>
        <v>33430</v>
      </c>
      <c r="E160" s="364">
        <f>'YÜKLENİCİ ARAÇLARI'!J105+'YÜKLENİCİ ARAÇLARI'!J106+'YÜKLENİCİ ARAÇLARI'!J107+'YÜKLENİCİ ARAÇLARI'!J108+'YÜKLENİCİ ARAÇLARI'!J109+'YÜKLENİCİ ARAÇLARI'!J110+'YÜKLENİCİ ARAÇLARI'!J111</f>
        <v>200580</v>
      </c>
    </row>
    <row r="161" spans="2:5" ht="18" thickTop="1" thickBot="1" x14ac:dyDescent="0.35">
      <c r="B161" s="393" t="str">
        <f>'YÜKLENİCİ ARAÇLARI'!C112</f>
        <v>CEVDET KARAGÜZEL</v>
      </c>
      <c r="C161" s="364">
        <f>'YÜKLENİCİ ARAÇLARI'!H112+'YÜKLENİCİ ARAÇLARI'!H113</f>
        <v>43200</v>
      </c>
      <c r="D161" s="364">
        <f>'YÜKLENİCİ ARAÇLARI'!I112+'YÜKLENİCİ ARAÇLARI'!I113</f>
        <v>8640</v>
      </c>
      <c r="E161" s="364">
        <f>'YÜKLENİCİ ARAÇLARI'!J112+'YÜKLENİCİ ARAÇLARI'!J113</f>
        <v>51840</v>
      </c>
    </row>
    <row r="162" spans="2:5" ht="18" thickTop="1" thickBot="1" x14ac:dyDescent="0.35">
      <c r="B162" s="393" t="str">
        <f>'YÜKLENİCİ ARAÇLARI'!C114</f>
        <v>İBRAHİM DER</v>
      </c>
      <c r="C162" s="364">
        <f>'YÜKLENİCİ ARAÇLARI'!H114</f>
        <v>43200</v>
      </c>
      <c r="D162" s="364">
        <f>'YÜKLENİCİ ARAÇLARI'!I114</f>
        <v>8640</v>
      </c>
      <c r="E162" s="364">
        <f>'YÜKLENİCİ ARAÇLARI'!J114</f>
        <v>51840</v>
      </c>
    </row>
    <row r="163" spans="2:5" ht="18" thickTop="1" thickBot="1" x14ac:dyDescent="0.35">
      <c r="B163" s="393" t="str">
        <f>'YÜKLENİCİ ARAÇLARI'!C115</f>
        <v>MUSTAFA KARAGÜZEL</v>
      </c>
      <c r="C163" s="364">
        <f>SUM('YÜKLENİCİ ARAÇLARI'!H115:H129)</f>
        <v>204250</v>
      </c>
      <c r="D163" s="364">
        <f>SUM('YÜKLENİCİ ARAÇLARI'!I115:I129)</f>
        <v>40850</v>
      </c>
      <c r="E163" s="364">
        <f>SUM('YÜKLENİCİ ARAÇLARI'!J115:J129)</f>
        <v>245100</v>
      </c>
    </row>
    <row r="164" spans="2:5" ht="18" thickTop="1" thickBot="1" x14ac:dyDescent="0.35">
      <c r="B164" s="393" t="str">
        <f>'YÜKLENİCİ ARAÇLARI'!C130</f>
        <v>İSMAİL AÇIKDENİZ</v>
      </c>
      <c r="C164" s="364">
        <f>'YÜKLENİCİ ARAÇLARI'!H130+'YÜKLENİCİ ARAÇLARI'!H131+'YÜKLENİCİ ARAÇLARI'!H136+'YÜKLENİCİ ARAÇLARI'!H137</f>
        <v>102600</v>
      </c>
      <c r="D164" s="364">
        <f>'YÜKLENİCİ ARAÇLARI'!I130+'YÜKLENİCİ ARAÇLARI'!I131+'YÜKLENİCİ ARAÇLARI'!I136+'YÜKLENİCİ ARAÇLARI'!I137</f>
        <v>20520</v>
      </c>
      <c r="E164" s="364">
        <f>'YÜKLENİCİ ARAÇLARI'!J130+'YÜKLENİCİ ARAÇLARI'!J131+'YÜKLENİCİ ARAÇLARI'!J136+'YÜKLENİCİ ARAÇLARI'!J137</f>
        <v>123120</v>
      </c>
    </row>
    <row r="165" spans="2:5" ht="18" thickTop="1" thickBot="1" x14ac:dyDescent="0.35">
      <c r="B165" s="393" t="str">
        <f>'YÜKLENİCİ ARAÇLARI'!C132</f>
        <v>FEHİM YALÇINKAYA</v>
      </c>
      <c r="C165" s="364">
        <f>'YÜKLENİCİ ARAÇLARI'!H132+'YÜKLENİCİ ARAÇLARI'!H133</f>
        <v>50400</v>
      </c>
      <c r="D165" s="364">
        <f>'YÜKLENİCİ ARAÇLARI'!I132+'YÜKLENİCİ ARAÇLARI'!I133</f>
        <v>10080</v>
      </c>
      <c r="E165" s="364">
        <f>'YÜKLENİCİ ARAÇLARI'!J132+'YÜKLENİCİ ARAÇLARI'!J133</f>
        <v>60480</v>
      </c>
    </row>
    <row r="166" spans="2:5" ht="18" thickTop="1" thickBot="1" x14ac:dyDescent="0.35">
      <c r="B166" s="393" t="str">
        <f>'YÜKLENİCİ ARAÇLARI'!C134</f>
        <v>MUSTAFA ÖNAL</v>
      </c>
      <c r="C166" s="364">
        <f>'YÜKLENİCİ ARAÇLARI'!H134+'YÜKLENİCİ ARAÇLARI'!H135</f>
        <v>50400</v>
      </c>
      <c r="D166" s="364">
        <f>'YÜKLENİCİ ARAÇLARI'!I134+'YÜKLENİCİ ARAÇLARI'!I135</f>
        <v>10080</v>
      </c>
      <c r="E166" s="364">
        <f>'YÜKLENİCİ ARAÇLARI'!J134+'YÜKLENİCİ ARAÇLARI'!J135</f>
        <v>60480</v>
      </c>
    </row>
    <row r="167" spans="2:5" ht="18" thickTop="1" thickBot="1" x14ac:dyDescent="0.35">
      <c r="B167" s="393" t="str">
        <f>'YÜKLENİCİ ARAÇLARI'!C138</f>
        <v>EMİRCAN KURT</v>
      </c>
      <c r="C167" s="364">
        <f>'YÜKLENİCİ ARAÇLARI'!H138+'YÜKLENİCİ ARAÇLARI'!H139+'YÜKLENİCİ ARAÇLARI'!H140</f>
        <v>58800</v>
      </c>
      <c r="D167" s="364">
        <f>'YÜKLENİCİ ARAÇLARI'!I138+'YÜKLENİCİ ARAÇLARI'!I139+'YÜKLENİCİ ARAÇLARI'!I140</f>
        <v>11760</v>
      </c>
      <c r="E167" s="364">
        <f>'YÜKLENİCİ ARAÇLARI'!J138+'YÜKLENİCİ ARAÇLARI'!J139+'YÜKLENİCİ ARAÇLARI'!J140</f>
        <v>70560</v>
      </c>
    </row>
    <row r="168" spans="2:5" ht="18" thickTop="1" thickBot="1" x14ac:dyDescent="0.35">
      <c r="B168" s="393" t="str">
        <f>'YÜKLENİCİ ARAÇLARI'!C141</f>
        <v>GÖKHAN IŞIK</v>
      </c>
      <c r="C168" s="364">
        <f>'YÜKLENİCİ ARAÇLARI'!H141+'YÜKLENİCİ ARAÇLARI'!H142</f>
        <v>53950</v>
      </c>
      <c r="D168" s="364">
        <f>'YÜKLENİCİ ARAÇLARI'!I141+'YÜKLENİCİ ARAÇLARI'!I142</f>
        <v>10790</v>
      </c>
      <c r="E168" s="364">
        <f>'YÜKLENİCİ ARAÇLARI'!J141+'YÜKLENİCİ ARAÇLARI'!J142</f>
        <v>64740</v>
      </c>
    </row>
    <row r="169" spans="2:5" ht="18" thickTop="1" thickBot="1" x14ac:dyDescent="0.35">
      <c r="B169" s="393" t="str">
        <f>'YÜKLENİCİ ARAÇLARI'!C144</f>
        <v>EMEL ÖMER ÖNENÇ(otur butur)</v>
      </c>
      <c r="C169" s="364">
        <f>'YÜKLENİCİ ARAÇLARI'!H143</f>
        <v>72000</v>
      </c>
      <c r="D169" s="364">
        <f>'YÜKLENİCİ ARAÇLARI'!I143</f>
        <v>14400</v>
      </c>
      <c r="E169" s="364">
        <f>'YÜKLENİCİ ARAÇLARI'!J143</f>
        <v>86400</v>
      </c>
    </row>
    <row r="170" spans="2:5" ht="17.25" customHeight="1" thickTop="1" thickBot="1" x14ac:dyDescent="0.35">
      <c r="B170" s="351" t="s">
        <v>184</v>
      </c>
      <c r="C170" s="367">
        <f>SUM(C160:C169)</f>
        <v>845950</v>
      </c>
      <c r="D170" s="367">
        <f>SUM(D160:D169)</f>
        <v>169190</v>
      </c>
      <c r="E170" s="367">
        <f>SUM(E160:E169)</f>
        <v>1015140</v>
      </c>
    </row>
    <row r="171" spans="2:5" ht="17.399999999999999" thickTop="1" x14ac:dyDescent="0.3"/>
    <row r="172" spans="2:5" ht="17.399999999999999" thickBot="1" x14ac:dyDescent="0.35">
      <c r="B172" s="356"/>
      <c r="C172" s="356" t="s">
        <v>205</v>
      </c>
      <c r="D172" s="356" t="s">
        <v>206</v>
      </c>
      <c r="E172" s="356" t="s">
        <v>207</v>
      </c>
    </row>
    <row r="173" spans="2:5" ht="18" thickTop="1" thickBot="1" x14ac:dyDescent="0.35">
      <c r="B173" s="334" t="s">
        <v>208</v>
      </c>
      <c r="C173" s="336">
        <f>C157-C170</f>
        <v>213600</v>
      </c>
      <c r="D173" s="410">
        <f>C173*0.18</f>
        <v>38448</v>
      </c>
      <c r="E173" s="364">
        <f>SUM(C173:D173)</f>
        <v>252048</v>
      </c>
    </row>
    <row r="174" spans="2:5" ht="17.399999999999999" thickTop="1" x14ac:dyDescent="0.3">
      <c r="C174" s="339"/>
      <c r="D174" s="339"/>
    </row>
    <row r="175" spans="2:5" x14ac:dyDescent="0.3">
      <c r="C175" s="339"/>
      <c r="D175" s="339"/>
    </row>
    <row r="176" spans="2:5" x14ac:dyDescent="0.3">
      <c r="C176" s="339"/>
      <c r="D176" s="339"/>
    </row>
    <row r="177" spans="2:10" ht="24" customHeight="1" thickBot="1" x14ac:dyDescent="0.35">
      <c r="B177" s="355" t="s">
        <v>178</v>
      </c>
      <c r="C177" s="356" t="s">
        <v>175</v>
      </c>
      <c r="D177" s="356" t="s">
        <v>176</v>
      </c>
      <c r="E177" s="356" t="s">
        <v>177</v>
      </c>
    </row>
    <row r="178" spans="2:10" ht="24" customHeight="1" thickTop="1" thickBot="1" x14ac:dyDescent="0.35">
      <c r="B178" s="334" t="s">
        <v>172</v>
      </c>
      <c r="C178" s="336">
        <v>0</v>
      </c>
      <c r="D178" s="336">
        <v>0</v>
      </c>
      <c r="E178" s="336">
        <v>0</v>
      </c>
    </row>
    <row r="179" spans="2:10" ht="24" customHeight="1" thickTop="1" thickBot="1" x14ac:dyDescent="0.35">
      <c r="B179" s="334" t="s">
        <v>173</v>
      </c>
      <c r="C179" s="336">
        <f>C157-C170</f>
        <v>213600</v>
      </c>
      <c r="D179" s="336">
        <f>D157-D170</f>
        <v>42720</v>
      </c>
      <c r="E179" s="336">
        <f>E157-E170</f>
        <v>256320</v>
      </c>
    </row>
    <row r="180" spans="2:10" ht="18" thickTop="1" thickBot="1" x14ac:dyDescent="0.35">
      <c r="B180" s="402" t="s">
        <v>186</v>
      </c>
      <c r="C180" s="411">
        <f>SUM(C178:C179)</f>
        <v>213600</v>
      </c>
      <c r="D180" s="411">
        <f t="shared" ref="D180:E180" si="13">SUM(D178:D179)</f>
        <v>42720</v>
      </c>
      <c r="E180" s="411">
        <f t="shared" si="13"/>
        <v>256320</v>
      </c>
    </row>
    <row r="181" spans="2:10" ht="17.399999999999999" thickTop="1" x14ac:dyDescent="0.3"/>
    <row r="185" spans="2:10" x14ac:dyDescent="0.3">
      <c r="B185" s="412"/>
      <c r="C185" s="413"/>
      <c r="D185" s="413"/>
      <c r="E185" s="413"/>
    </row>
    <row r="186" spans="2:10" ht="17.399999999999999" thickBot="1" x14ac:dyDescent="0.35"/>
    <row r="187" spans="2:10" s="326" customFormat="1" ht="18" thickTop="1" thickBot="1" x14ac:dyDescent="0.35">
      <c r="B187" s="359" t="s">
        <v>116</v>
      </c>
      <c r="C187" s="360" t="s">
        <v>30</v>
      </c>
      <c r="D187" s="360" t="s">
        <v>31</v>
      </c>
      <c r="E187" s="360" t="s">
        <v>32</v>
      </c>
      <c r="H187" s="357"/>
      <c r="I187" s="357"/>
      <c r="J187" s="357"/>
    </row>
    <row r="188" spans="2:10" s="326" customFormat="1" ht="27" customHeight="1" thickTop="1" thickBot="1" x14ac:dyDescent="0.35">
      <c r="B188" s="361" t="s">
        <v>573</v>
      </c>
      <c r="C188" s="360">
        <f>[4]HAZİRAN!$C$38+[4]HAZİRAN!$C$39</f>
        <v>2229115</v>
      </c>
      <c r="D188" s="360">
        <f>[4]HAZİRAN!$D$38+[4]HAZİRAN!$D$39</f>
        <v>416414</v>
      </c>
      <c r="E188" s="360">
        <f>SUM(C188:D188)</f>
        <v>2645529</v>
      </c>
      <c r="H188" s="357"/>
      <c r="I188" s="357"/>
      <c r="J188" s="357"/>
    </row>
    <row r="189" spans="2:10" ht="18" thickTop="1" thickBot="1" x14ac:dyDescent="0.35">
      <c r="B189" s="408"/>
      <c r="C189" s="409"/>
      <c r="D189" s="409"/>
      <c r="E189" s="409"/>
    </row>
    <row r="190" spans="2:10" ht="18" thickTop="1" thickBot="1" x14ac:dyDescent="0.35">
      <c r="B190" s="565" t="s">
        <v>187</v>
      </c>
      <c r="C190" s="566"/>
      <c r="D190" s="566"/>
      <c r="E190" s="567"/>
    </row>
    <row r="191" spans="2:10" ht="18" thickTop="1" thickBot="1" x14ac:dyDescent="0.35">
      <c r="B191" s="334" t="str">
        <f>'YÜKLENİCİ ARAÇLARI'!C149</f>
        <v>UGUR BENLİ</v>
      </c>
      <c r="C191" s="364">
        <f>'YÜKLENİCİ ARAÇLARI'!H149+'YÜKLENİCİ ARAÇLARI'!H150+'YÜKLENİCİ ARAÇLARI'!H151+'YÜKLENİCİ ARAÇLARI'!H152+'YÜKLENİCİ ARAÇLARI'!H199</f>
        <v>150980</v>
      </c>
      <c r="D191" s="364">
        <f>'YÜKLENİCİ ARAÇLARI'!I149+'YÜKLENİCİ ARAÇLARI'!I150+'YÜKLENİCİ ARAÇLARI'!I151+'YÜKLENİCİ ARAÇLARI'!I152+'YÜKLENİCİ ARAÇLARI'!I199</f>
        <v>30196</v>
      </c>
      <c r="E191" s="364">
        <f>'YÜKLENİCİ ARAÇLARI'!J149+'YÜKLENİCİ ARAÇLARI'!J150+'YÜKLENİCİ ARAÇLARI'!J151+'YÜKLENİCİ ARAÇLARI'!J152+'YÜKLENİCİ ARAÇLARI'!J199</f>
        <v>181176</v>
      </c>
    </row>
    <row r="192" spans="2:10" ht="18" thickTop="1" thickBot="1" x14ac:dyDescent="0.35">
      <c r="B192" s="334" t="str">
        <f>'YÜKLENİCİ ARAÇLARI'!C153</f>
        <v>GÖKHAN IŞIK</v>
      </c>
      <c r="C192" s="364">
        <f>'YÜKLENİCİ ARAÇLARI'!H153+'YÜKLENİCİ ARAÇLARI'!H154+'YÜKLENİCİ ARAÇLARI'!H171+'YÜKLENİCİ ARAÇLARI'!H172+'YÜKLENİCİ ARAÇLARI'!H173+'YÜKLENİCİ ARAÇLARI'!H190+'YÜKLENİCİ ARAÇLARI'!H191+'YÜKLENİCİ ARAÇLARI'!H198</f>
        <v>304220</v>
      </c>
      <c r="D192" s="364">
        <f>'YÜKLENİCİ ARAÇLARI'!I153+'YÜKLENİCİ ARAÇLARI'!I154+'YÜKLENİCİ ARAÇLARI'!I171+'YÜKLENİCİ ARAÇLARI'!I172+'YÜKLENİCİ ARAÇLARI'!I173+'YÜKLENİCİ ARAÇLARI'!I190+'YÜKLENİCİ ARAÇLARI'!I191+'YÜKLENİCİ ARAÇLARI'!I198</f>
        <v>60844</v>
      </c>
      <c r="E192" s="364">
        <f>'YÜKLENİCİ ARAÇLARI'!J153+'YÜKLENİCİ ARAÇLARI'!J154+'YÜKLENİCİ ARAÇLARI'!J171+'YÜKLENİCİ ARAÇLARI'!J172+'YÜKLENİCİ ARAÇLARI'!J173+'YÜKLENİCİ ARAÇLARI'!J190+'YÜKLENİCİ ARAÇLARI'!J191+'YÜKLENİCİ ARAÇLARI'!J198</f>
        <v>365064</v>
      </c>
    </row>
    <row r="193" spans="2:5" ht="18" thickTop="1" thickBot="1" x14ac:dyDescent="0.35">
      <c r="B193" s="334" t="str">
        <f>'YÜKLENİCİ ARAÇLARI'!C155</f>
        <v>MUSTAFA KARAGÜZEL</v>
      </c>
      <c r="C193" s="364">
        <f>'YÜKLENİCİ ARAÇLARI'!H155+'YÜKLENİCİ ARAÇLARI'!H156+'YÜKLENİCİ ARAÇLARI'!H157+'YÜKLENİCİ ARAÇLARI'!H158+'YÜKLENİCİ ARAÇLARI'!H161+'YÜKLENİCİ ARAÇLARI'!H162+'YÜKLENİCİ ARAÇLARI'!H174+'YÜKLENİCİ ARAÇLARI'!H175+'YÜKLENİCİ ARAÇLARI'!H176+'YÜKLENİCİ ARAÇLARI'!H177+'YÜKLENİCİ ARAÇLARI'!H178+'YÜKLENİCİ ARAÇLARI'!H179+'YÜKLENİCİ ARAÇLARI'!H180+'YÜKLENİCİ ARAÇLARI'!H181+'YÜKLENİCİ ARAÇLARI'!H185+'YÜKLENİCİ ARAÇLARI'!H186+'YÜKLENİCİ ARAÇLARI'!H187+'YÜKLENİCİ ARAÇLARI'!H188+'YÜKLENİCİ ARAÇLARI'!H197</f>
        <v>572250</v>
      </c>
      <c r="D193" s="364">
        <f>'YÜKLENİCİ ARAÇLARI'!I155+'YÜKLENİCİ ARAÇLARI'!I156+'YÜKLENİCİ ARAÇLARI'!I157+'YÜKLENİCİ ARAÇLARI'!I158+'YÜKLENİCİ ARAÇLARI'!I161+'YÜKLENİCİ ARAÇLARI'!I162+'YÜKLENİCİ ARAÇLARI'!I174+'YÜKLENİCİ ARAÇLARI'!I175+'YÜKLENİCİ ARAÇLARI'!I176+'YÜKLENİCİ ARAÇLARI'!I177+'YÜKLENİCİ ARAÇLARI'!I178+'YÜKLENİCİ ARAÇLARI'!I179+'YÜKLENİCİ ARAÇLARI'!I180+'YÜKLENİCİ ARAÇLARI'!I181+'YÜKLENİCİ ARAÇLARI'!I185+'YÜKLENİCİ ARAÇLARI'!I186+'YÜKLENİCİ ARAÇLARI'!I187+'YÜKLENİCİ ARAÇLARI'!I188+'YÜKLENİCİ ARAÇLARI'!I197</f>
        <v>114450</v>
      </c>
      <c r="E193" s="364">
        <f>'YÜKLENİCİ ARAÇLARI'!J155+'YÜKLENİCİ ARAÇLARI'!J156+'YÜKLENİCİ ARAÇLARI'!J157+'YÜKLENİCİ ARAÇLARI'!J158+'YÜKLENİCİ ARAÇLARI'!J161+'YÜKLENİCİ ARAÇLARI'!J162+'YÜKLENİCİ ARAÇLARI'!J174+'YÜKLENİCİ ARAÇLARI'!J175+'YÜKLENİCİ ARAÇLARI'!J176+'YÜKLENİCİ ARAÇLARI'!J177+'YÜKLENİCİ ARAÇLARI'!J178+'YÜKLENİCİ ARAÇLARI'!J179+'YÜKLENİCİ ARAÇLARI'!J180+'YÜKLENİCİ ARAÇLARI'!J181+'YÜKLENİCİ ARAÇLARI'!J185+'YÜKLENİCİ ARAÇLARI'!J186+'YÜKLENİCİ ARAÇLARI'!J187+'YÜKLENİCİ ARAÇLARI'!J188+'YÜKLENİCİ ARAÇLARI'!J197</f>
        <v>686700</v>
      </c>
    </row>
    <row r="194" spans="2:5" ht="18" thickTop="1" thickBot="1" x14ac:dyDescent="0.35">
      <c r="B194" s="334" t="str">
        <f>'YÜKLENİCİ ARAÇLARI'!C159</f>
        <v>BAYRAM YILMAZ</v>
      </c>
      <c r="C194" s="336">
        <f>'YÜKLENİCİ ARAÇLARI'!H159+'YÜKLENİCİ ARAÇLARI'!H160</f>
        <v>60900</v>
      </c>
      <c r="D194" s="336">
        <f>'YÜKLENİCİ ARAÇLARI'!I159+'YÜKLENİCİ ARAÇLARI'!I160</f>
        <v>12180</v>
      </c>
      <c r="E194" s="336">
        <f>'YÜKLENİCİ ARAÇLARI'!J159+'YÜKLENİCİ ARAÇLARI'!J160</f>
        <v>73080</v>
      </c>
    </row>
    <row r="195" spans="2:5" ht="18" thickTop="1" thickBot="1" x14ac:dyDescent="0.35">
      <c r="B195" s="414" t="str">
        <f>'YÜKLENİCİ ARAÇLARI'!C163</f>
        <v>FATİH ARI TUNCAY GÖKTAŞ</v>
      </c>
      <c r="C195" s="364">
        <f>'YÜKLENİCİ ARAÇLARI'!H163+'YÜKLENİCİ ARAÇLARI'!H164+'YÜKLENİCİ ARAÇLARI'!H194+'YÜKLENİCİ ARAÇLARI'!H201</f>
        <v>135030</v>
      </c>
      <c r="D195" s="364">
        <f>'YÜKLENİCİ ARAÇLARI'!I163+'YÜKLENİCİ ARAÇLARI'!I164+'YÜKLENİCİ ARAÇLARI'!I194+'YÜKLENİCİ ARAÇLARI'!I201</f>
        <v>27006</v>
      </c>
      <c r="E195" s="364">
        <f>'YÜKLENİCİ ARAÇLARI'!J163+'YÜKLENİCİ ARAÇLARI'!J164+'YÜKLENİCİ ARAÇLARI'!J194+'YÜKLENİCİ ARAÇLARI'!J201</f>
        <v>162036</v>
      </c>
    </row>
    <row r="196" spans="2:5" ht="22.95" customHeight="1" thickTop="1" thickBot="1" x14ac:dyDescent="0.35">
      <c r="B196" s="414" t="str">
        <f>'YÜKLENİCİ ARAÇLARI'!C165</f>
        <v>ALİCAN BAŞER</v>
      </c>
      <c r="C196" s="364">
        <f>'YÜKLENİCİ ARAÇLARI'!H165+'YÜKLENİCİ ARAÇLARI'!H166+'YÜKLENİCİ ARAÇLARI'!H195+'YÜKLENİCİ ARAÇLARI'!H202</f>
        <v>62300</v>
      </c>
      <c r="D196" s="364">
        <f>'YÜKLENİCİ ARAÇLARI'!I165+'YÜKLENİCİ ARAÇLARI'!I166+'YÜKLENİCİ ARAÇLARI'!I195+'YÜKLENİCİ ARAÇLARI'!I202</f>
        <v>12460</v>
      </c>
      <c r="E196" s="364">
        <f>'YÜKLENİCİ ARAÇLARI'!J165+'YÜKLENİCİ ARAÇLARI'!J166+'YÜKLENİCİ ARAÇLARI'!J195+'YÜKLENİCİ ARAÇLARI'!J202</f>
        <v>74760</v>
      </c>
    </row>
    <row r="197" spans="2:5" ht="18" thickTop="1" thickBot="1" x14ac:dyDescent="0.35">
      <c r="B197" s="414" t="str">
        <f>'YÜKLENİCİ ARAÇLARI'!C167</f>
        <v>YUNUS EMRE OCAK</v>
      </c>
      <c r="C197" s="364">
        <f>'YÜKLENİCİ ARAÇLARI'!H167+'YÜKLENİCİ ARAÇLARI'!H168+'YÜKLENİCİ ARAÇLARI'!H189+'YÜKLENİCİ ARAÇLARI'!H196</f>
        <v>90650</v>
      </c>
      <c r="D197" s="364">
        <f>'YÜKLENİCİ ARAÇLARI'!I167+'YÜKLENİCİ ARAÇLARI'!I168+'YÜKLENİCİ ARAÇLARI'!I196+'YÜKLENİCİ ARAÇLARI'!I189</f>
        <v>18130</v>
      </c>
      <c r="E197" s="364">
        <f>'YÜKLENİCİ ARAÇLARI'!J167+'YÜKLENİCİ ARAÇLARI'!J168+'YÜKLENİCİ ARAÇLARI'!J196+'YÜKLENİCİ ARAÇLARI'!J189</f>
        <v>108780</v>
      </c>
    </row>
    <row r="198" spans="2:5" ht="18" thickTop="1" thickBot="1" x14ac:dyDescent="0.35">
      <c r="B198" s="414" t="str">
        <f>'YÜKLENİCİ ARAÇLARI'!C169</f>
        <v>FEYYAZ POLUMCU</v>
      </c>
      <c r="C198" s="364">
        <f>'YÜKLENİCİ ARAÇLARI'!H169</f>
        <v>50400</v>
      </c>
      <c r="D198" s="364">
        <f>'YÜKLENİCİ ARAÇLARI'!I169</f>
        <v>10080</v>
      </c>
      <c r="E198" s="364">
        <f>'YÜKLENİCİ ARAÇLARI'!J169</f>
        <v>60480</v>
      </c>
    </row>
    <row r="199" spans="2:5" ht="18" hidden="1" thickTop="1" thickBot="1" x14ac:dyDescent="0.35">
      <c r="B199" s="414"/>
      <c r="C199" s="364"/>
      <c r="D199" s="364"/>
      <c r="E199" s="364"/>
    </row>
    <row r="200" spans="2:5" ht="17.25" customHeight="1" thickTop="1" thickBot="1" x14ac:dyDescent="0.35">
      <c r="B200" s="351" t="s">
        <v>218</v>
      </c>
      <c r="C200" s="367">
        <f>SUM(C191:C199)</f>
        <v>1426730</v>
      </c>
      <c r="D200" s="367">
        <f t="shared" ref="D200:E200" si="14">SUM(D191:D199)</f>
        <v>285346</v>
      </c>
      <c r="E200" s="367">
        <f t="shared" si="14"/>
        <v>1712076</v>
      </c>
    </row>
    <row r="201" spans="2:5" ht="17.399999999999999" thickTop="1" x14ac:dyDescent="0.3"/>
    <row r="202" spans="2:5" ht="17.399999999999999" thickBot="1" x14ac:dyDescent="0.35">
      <c r="B202" s="342"/>
      <c r="C202" s="342" t="s">
        <v>30</v>
      </c>
      <c r="D202" s="342" t="s">
        <v>31</v>
      </c>
      <c r="E202" s="342" t="s">
        <v>3</v>
      </c>
    </row>
    <row r="203" spans="2:5" ht="18" thickTop="1" thickBot="1" x14ac:dyDescent="0.35">
      <c r="B203" s="351" t="s">
        <v>208</v>
      </c>
      <c r="C203" s="352">
        <f>C188-C200</f>
        <v>802385</v>
      </c>
      <c r="D203" s="352">
        <f>D188-D200</f>
        <v>131068</v>
      </c>
      <c r="E203" s="352">
        <f>E188-E200</f>
        <v>933453</v>
      </c>
    </row>
    <row r="204" spans="2:5" ht="18" thickTop="1" thickBot="1" x14ac:dyDescent="0.35">
      <c r="C204" s="393"/>
    </row>
    <row r="205" spans="2:5" ht="18" thickTop="1" thickBot="1" x14ac:dyDescent="0.35"/>
    <row r="206" spans="2:5" ht="18" thickTop="1" thickBot="1" x14ac:dyDescent="0.35">
      <c r="B206" s="568" t="s">
        <v>182</v>
      </c>
      <c r="C206" s="569"/>
      <c r="D206" s="569"/>
      <c r="E206" s="570"/>
    </row>
    <row r="207" spans="2:5" ht="18" thickTop="1" thickBot="1" x14ac:dyDescent="0.35">
      <c r="B207" s="415" t="s">
        <v>181</v>
      </c>
      <c r="C207" s="416" t="s">
        <v>30</v>
      </c>
      <c r="D207" s="416" t="s">
        <v>31</v>
      </c>
      <c r="E207" s="416" t="s">
        <v>32</v>
      </c>
    </row>
    <row r="208" spans="2:5" ht="18" thickTop="1" thickBot="1" x14ac:dyDescent="0.35">
      <c r="B208" s="347" t="str">
        <f>'ŞİRKET ARAÇ'!C96</f>
        <v>54 S 0560</v>
      </c>
      <c r="C208" s="399">
        <f>'ŞİRKET ARAÇ'!G96+'ŞİRKET ARAÇ'!G97+'ŞİRKET ARAÇ'!G102</f>
        <v>131040</v>
      </c>
      <c r="D208" s="399">
        <f>'ŞİRKET ARAÇ'!H96+'ŞİRKET ARAÇ'!H97+'ŞİRKET ARAÇ'!H102</f>
        <v>9954</v>
      </c>
      <c r="E208" s="399">
        <f>'ŞİRKET ARAÇ'!I96+'ŞİRKET ARAÇ'!I97+'ŞİRKET ARAÇ'!I102</f>
        <v>140994</v>
      </c>
    </row>
    <row r="209" spans="2:10" ht="18" thickTop="1" thickBot="1" x14ac:dyDescent="0.35">
      <c r="B209" s="347" t="str">
        <f>'ŞİRKET ARAÇ'!C99</f>
        <v>54 S 0561</v>
      </c>
      <c r="C209" s="417">
        <f>'ŞİRKET ARAÇ'!G99</f>
        <v>70350</v>
      </c>
      <c r="D209" s="417">
        <f>'ŞİRKET ARAÇ'!J99</f>
        <v>7035</v>
      </c>
      <c r="E209" s="417">
        <f>SUM(C209:D209)</f>
        <v>77385</v>
      </c>
    </row>
    <row r="210" spans="2:10" ht="18" hidden="1" thickTop="1" thickBot="1" x14ac:dyDescent="0.35">
      <c r="B210" s="347" t="str">
        <f>'ŞİRKET ARAÇ'!C100</f>
        <v>54 S 0858</v>
      </c>
      <c r="C210" s="400">
        <f>'ŞİRKET ARAÇ'!G104+'ŞİRKET ARAÇ'!G105+'ŞİRKET ARAÇ'!G102/2</f>
        <v>0</v>
      </c>
      <c r="D210" s="400">
        <f>C210*0.1</f>
        <v>0</v>
      </c>
      <c r="E210" s="399">
        <f t="shared" ref="E210:E211" si="15">SUM(C210:D210)</f>
        <v>0</v>
      </c>
    </row>
    <row r="211" spans="2:10" ht="18" thickTop="1" thickBot="1" x14ac:dyDescent="0.35">
      <c r="B211" s="401" t="str">
        <f>'ŞİRKET ARAÇ'!C107</f>
        <v>54 S 2933</v>
      </c>
      <c r="C211" s="400">
        <f>'ŞİRKET ARAÇ'!G107</f>
        <v>92700</v>
      </c>
      <c r="D211" s="400">
        <f t="shared" ref="D211" si="16">C211*0.1</f>
        <v>9270</v>
      </c>
      <c r="E211" s="399">
        <f t="shared" si="15"/>
        <v>101970</v>
      </c>
    </row>
    <row r="212" spans="2:10" ht="18" thickTop="1" thickBot="1" x14ac:dyDescent="0.35">
      <c r="B212" s="418" t="s">
        <v>3</v>
      </c>
      <c r="C212" s="419">
        <f>SUM(C208:C211)</f>
        <v>294090</v>
      </c>
      <c r="D212" s="419">
        <f>SUM(D208:D211)</f>
        <v>26259</v>
      </c>
      <c r="E212" s="419">
        <f>SUM(E208:E211)</f>
        <v>320349</v>
      </c>
    </row>
    <row r="213" spans="2:10" ht="17.399999999999999" thickTop="1" x14ac:dyDescent="0.3">
      <c r="C213" s="353"/>
      <c r="D213" s="353"/>
      <c r="E213" s="353"/>
    </row>
    <row r="214" spans="2:10" x14ac:dyDescent="0.3">
      <c r="C214" s="339"/>
      <c r="D214" s="339"/>
    </row>
    <row r="215" spans="2:10" ht="17.399999999999999" thickBot="1" x14ac:dyDescent="0.35">
      <c r="B215" s="420" t="s">
        <v>178</v>
      </c>
      <c r="C215" s="421" t="s">
        <v>175</v>
      </c>
      <c r="D215" s="421" t="s">
        <v>176</v>
      </c>
      <c r="E215" s="421" t="s">
        <v>177</v>
      </c>
    </row>
    <row r="216" spans="2:10" ht="18.75" customHeight="1" thickTop="1" thickBot="1" x14ac:dyDescent="0.35">
      <c r="B216" s="334" t="s">
        <v>172</v>
      </c>
      <c r="C216" s="336">
        <f>C212</f>
        <v>294090</v>
      </c>
      <c r="D216" s="336">
        <f>D212</f>
        <v>26259</v>
      </c>
      <c r="E216" s="336">
        <f>E212</f>
        <v>320349</v>
      </c>
    </row>
    <row r="217" spans="2:10" ht="18.75" customHeight="1" thickTop="1" thickBot="1" x14ac:dyDescent="0.35">
      <c r="B217" s="334" t="s">
        <v>173</v>
      </c>
      <c r="C217" s="336">
        <f>C188-C200-C212</f>
        <v>508295</v>
      </c>
      <c r="D217" s="336">
        <f>D188-D200-D212</f>
        <v>104809</v>
      </c>
      <c r="E217" s="336">
        <f>E188-E200-E212</f>
        <v>613104</v>
      </c>
    </row>
    <row r="218" spans="2:10" ht="22.5" customHeight="1" thickTop="1" thickBot="1" x14ac:dyDescent="0.35">
      <c r="B218" s="422" t="s">
        <v>186</v>
      </c>
      <c r="C218" s="423">
        <f>SUM(C216:C217)</f>
        <v>802385</v>
      </c>
      <c r="D218" s="423">
        <f t="shared" ref="D218:E218" si="17">SUM(D216:D217)</f>
        <v>131068</v>
      </c>
      <c r="E218" s="423">
        <f t="shared" si="17"/>
        <v>933453</v>
      </c>
    </row>
    <row r="219" spans="2:10" ht="17.399999999999999" thickTop="1" x14ac:dyDescent="0.3"/>
    <row r="220" spans="2:10" x14ac:dyDescent="0.3">
      <c r="B220" s="412"/>
      <c r="C220" s="413"/>
      <c r="D220" s="413"/>
      <c r="E220" s="413"/>
    </row>
    <row r="221" spans="2:10" ht="17.399999999999999" thickBot="1" x14ac:dyDescent="0.35"/>
    <row r="222" spans="2:10" s="326" customFormat="1" ht="24" customHeight="1" thickTop="1" thickBot="1" x14ac:dyDescent="0.35">
      <c r="B222" s="359" t="s">
        <v>129</v>
      </c>
      <c r="C222" s="360" t="s">
        <v>30</v>
      </c>
      <c r="D222" s="360" t="s">
        <v>31</v>
      </c>
      <c r="E222" s="360" t="s">
        <v>32</v>
      </c>
      <c r="H222" s="357"/>
      <c r="I222" s="357"/>
      <c r="J222" s="357"/>
    </row>
    <row r="223" spans="2:10" s="326" customFormat="1" ht="24" customHeight="1" thickTop="1" thickBot="1" x14ac:dyDescent="0.35">
      <c r="B223" s="361" t="s">
        <v>573</v>
      </c>
      <c r="C223" s="360">
        <f>[4]HAZİRAN!$C$32+[4]HAZİRAN!$C$34</f>
        <v>690450</v>
      </c>
      <c r="D223" s="360">
        <f>C223*0.2</f>
        <v>138090</v>
      </c>
      <c r="E223" s="360">
        <f>SUM(C223:D223)</f>
        <v>828540</v>
      </c>
      <c r="H223" s="357"/>
      <c r="I223" s="357"/>
      <c r="J223" s="357"/>
    </row>
    <row r="224" spans="2:10" ht="18" thickTop="1" thickBot="1" x14ac:dyDescent="0.35">
      <c r="B224" s="424"/>
      <c r="C224" s="330"/>
      <c r="D224" s="330"/>
      <c r="E224" s="330"/>
    </row>
    <row r="225" spans="2:5" ht="24" customHeight="1" thickTop="1" thickBot="1" x14ac:dyDescent="0.35">
      <c r="B225" s="571" t="s">
        <v>187</v>
      </c>
      <c r="C225" s="572"/>
      <c r="D225" s="572"/>
      <c r="E225" s="573"/>
    </row>
    <row r="226" spans="2:5" ht="24" customHeight="1" thickTop="1" thickBot="1" x14ac:dyDescent="0.35">
      <c r="B226" s="332" t="str">
        <f>'YÜKLENİCİ ARAÇLARI'!C207</f>
        <v>FEHİM YALÇINKAYA</v>
      </c>
      <c r="C226" s="363">
        <f>'YÜKLENİCİ ARAÇLARI'!H207+'YÜKLENİCİ ARAÇLARI'!H208+'YÜKLENİCİ ARAÇLARI'!H209+'YÜKLENİCİ ARAÇLARI'!H210+'YÜKLENİCİ ARAÇLARI'!H211+'YÜKLENİCİ ARAÇLARI'!H212+'YÜKLENİCİ ARAÇLARI'!H214+'YÜKLENİCİ ARAÇLARI'!H215</f>
        <v>314500</v>
      </c>
      <c r="D226" s="363">
        <f>'YÜKLENİCİ ARAÇLARI'!I207+'YÜKLENİCİ ARAÇLARI'!I208+'YÜKLENİCİ ARAÇLARI'!I209+'YÜKLENİCİ ARAÇLARI'!I210+'YÜKLENİCİ ARAÇLARI'!I211+'YÜKLENİCİ ARAÇLARI'!I212+'YÜKLENİCİ ARAÇLARI'!I214+'YÜKLENİCİ ARAÇLARI'!I215</f>
        <v>62900</v>
      </c>
      <c r="E226" s="363">
        <f>'YÜKLENİCİ ARAÇLARI'!J207+'YÜKLENİCİ ARAÇLARI'!J208+'YÜKLENİCİ ARAÇLARI'!J209+'YÜKLENİCİ ARAÇLARI'!J210+'YÜKLENİCİ ARAÇLARI'!J211+'YÜKLENİCİ ARAÇLARI'!J212+'YÜKLENİCİ ARAÇLARI'!J214+'YÜKLENİCİ ARAÇLARI'!J215</f>
        <v>377400</v>
      </c>
    </row>
    <row r="227" spans="2:5" ht="24" customHeight="1" thickTop="1" thickBot="1" x14ac:dyDescent="0.35">
      <c r="B227" s="393" t="str">
        <f>'YÜKLENİCİ ARAÇLARI'!C213</f>
        <v>ÖMER DER</v>
      </c>
      <c r="C227" s="364">
        <f>'YÜKLENİCİ ARAÇLARI'!H213</f>
        <v>50400</v>
      </c>
      <c r="D227" s="364">
        <f>'YÜKLENİCİ ARAÇLARI'!I213</f>
        <v>10080</v>
      </c>
      <c r="E227" s="364">
        <f>'YÜKLENİCİ ARAÇLARI'!J213</f>
        <v>60480</v>
      </c>
    </row>
    <row r="228" spans="2:5" ht="24" customHeight="1" thickTop="1" thickBot="1" x14ac:dyDescent="0.35">
      <c r="B228" s="393" t="str">
        <f>'YÜKLENİCİ ARAÇLARI'!C216</f>
        <v>BAYRAM YILMAZ</v>
      </c>
      <c r="C228" s="364">
        <f>'YÜKLENİCİ ARAÇLARI'!H216</f>
        <v>16200</v>
      </c>
      <c r="D228" s="364">
        <f>'YÜKLENİCİ ARAÇLARI'!I216</f>
        <v>3240</v>
      </c>
      <c r="E228" s="364">
        <f>'YÜKLENİCİ ARAÇLARI'!J216</f>
        <v>19440</v>
      </c>
    </row>
    <row r="229" spans="2:5" ht="24" customHeight="1" thickTop="1" thickBot="1" x14ac:dyDescent="0.35">
      <c r="B229" s="393" t="str">
        <f>'YÜKLENİCİ ARAÇLARI'!C217</f>
        <v>AHMET CAN KAHVECİ</v>
      </c>
      <c r="C229" s="364">
        <f>'YÜKLENİCİ ARAÇLARI'!H217</f>
        <v>45000</v>
      </c>
      <c r="D229" s="364">
        <f>'YÜKLENİCİ ARAÇLARI'!I217</f>
        <v>9000</v>
      </c>
      <c r="E229" s="364">
        <f>'YÜKLENİCİ ARAÇLARI'!J217</f>
        <v>54000</v>
      </c>
    </row>
    <row r="230" spans="2:5" ht="24" customHeight="1" thickTop="1" thickBot="1" x14ac:dyDescent="0.35">
      <c r="B230" s="393" t="str">
        <f>'YÜKLENİCİ ARAÇLARI'!C218</f>
        <v>EMRAH ESEN</v>
      </c>
      <c r="C230" s="364">
        <f>'YÜKLENİCİ ARAÇLARI'!H218+'YÜKLENİCİ ARAÇLARI'!H219+'YÜKLENİCİ ARAÇLARI'!H220+'YÜKLENİCİ ARAÇLARI'!H221</f>
        <v>102220</v>
      </c>
      <c r="D230" s="364">
        <f>'YÜKLENİCİ ARAÇLARI'!I218+'YÜKLENİCİ ARAÇLARI'!I219+'YÜKLENİCİ ARAÇLARI'!I220+'YÜKLENİCİ ARAÇLARI'!I221</f>
        <v>20444</v>
      </c>
      <c r="E230" s="364">
        <f>'YÜKLENİCİ ARAÇLARI'!J218+'YÜKLENİCİ ARAÇLARI'!J219+'YÜKLENİCİ ARAÇLARI'!J220+'YÜKLENİCİ ARAÇLARI'!J221</f>
        <v>122664</v>
      </c>
    </row>
    <row r="231" spans="2:5" ht="24" customHeight="1" thickTop="1" thickBot="1" x14ac:dyDescent="0.35">
      <c r="B231" s="393" t="str">
        <f>'YÜKLENİCİ ARAÇLARI'!C222</f>
        <v>ADİL YILMAZ</v>
      </c>
      <c r="C231" s="364">
        <f>'YÜKLENİCİ ARAÇLARI'!H222</f>
        <v>32400</v>
      </c>
      <c r="D231" s="364">
        <f>'YÜKLENİCİ ARAÇLARI'!I222</f>
        <v>6480</v>
      </c>
      <c r="E231" s="364">
        <f>'YÜKLENİCİ ARAÇLARI'!J222</f>
        <v>38880</v>
      </c>
    </row>
    <row r="232" spans="2:5" ht="24" customHeight="1" thickTop="1" thickBot="1" x14ac:dyDescent="0.35">
      <c r="B232" s="425" t="s">
        <v>187</v>
      </c>
      <c r="C232" s="426">
        <f>SUM(C226:C231)</f>
        <v>560720</v>
      </c>
      <c r="D232" s="426">
        <f t="shared" ref="D232:E232" si="18">SUM(D226:D231)</f>
        <v>112144</v>
      </c>
      <c r="E232" s="426">
        <f t="shared" si="18"/>
        <v>672864</v>
      </c>
    </row>
    <row r="233" spans="2:5" ht="17.25" customHeight="1" thickTop="1" x14ac:dyDescent="0.3">
      <c r="C233" s="383"/>
      <c r="D233" s="383"/>
      <c r="E233" s="383"/>
    </row>
    <row r="234" spans="2:5" ht="17.399999999999999" thickBot="1" x14ac:dyDescent="0.35">
      <c r="B234" s="427"/>
      <c r="C234" s="427"/>
      <c r="D234" s="427"/>
      <c r="E234" s="427"/>
    </row>
    <row r="235" spans="2:5" ht="27" customHeight="1" thickTop="1" thickBot="1" x14ac:dyDescent="0.35">
      <c r="B235" s="402" t="s">
        <v>208</v>
      </c>
      <c r="C235" s="358">
        <f>C223-C232</f>
        <v>129730</v>
      </c>
      <c r="D235" s="358">
        <f>D223-D232</f>
        <v>25946</v>
      </c>
      <c r="E235" s="358">
        <f>E223-E232</f>
        <v>155676</v>
      </c>
    </row>
    <row r="236" spans="2:5" ht="17.399999999999999" thickTop="1" x14ac:dyDescent="0.3">
      <c r="C236" s="339"/>
      <c r="D236" s="339"/>
    </row>
    <row r="237" spans="2:5" ht="24" customHeight="1" thickBot="1" x14ac:dyDescent="0.35">
      <c r="B237" s="371" t="s">
        <v>178</v>
      </c>
      <c r="C237" s="342" t="s">
        <v>175</v>
      </c>
      <c r="D237" s="342" t="s">
        <v>176</v>
      </c>
      <c r="E237" s="342" t="s">
        <v>177</v>
      </c>
    </row>
    <row r="238" spans="2:5" ht="24" customHeight="1" thickTop="1" thickBot="1" x14ac:dyDescent="0.35">
      <c r="B238" s="334" t="s">
        <v>172</v>
      </c>
      <c r="C238" s="336">
        <v>0</v>
      </c>
      <c r="D238" s="336">
        <v>0</v>
      </c>
      <c r="E238" s="336">
        <v>0</v>
      </c>
    </row>
    <row r="239" spans="2:5" ht="24" customHeight="1" thickTop="1" thickBot="1" x14ac:dyDescent="0.35">
      <c r="B239" s="334" t="s">
        <v>173</v>
      </c>
      <c r="C239" s="336">
        <f>C223-C232</f>
        <v>129730</v>
      </c>
      <c r="D239" s="336">
        <f>D223-D232</f>
        <v>25946</v>
      </c>
      <c r="E239" s="336">
        <f>E223-E232</f>
        <v>155676</v>
      </c>
    </row>
    <row r="240" spans="2:5" ht="24" customHeight="1" thickTop="1" thickBot="1" x14ac:dyDescent="0.35">
      <c r="B240" s="428" t="s">
        <v>174</v>
      </c>
      <c r="C240" s="428">
        <f>SUM(C238:C239)</f>
        <v>129730</v>
      </c>
      <c r="D240" s="428">
        <f t="shared" ref="D240:E240" si="19">SUM(D238:D239)</f>
        <v>25946</v>
      </c>
      <c r="E240" s="428">
        <f t="shared" si="19"/>
        <v>155676</v>
      </c>
    </row>
    <row r="241" spans="2:10" ht="17.399999999999999" thickTop="1" x14ac:dyDescent="0.3">
      <c r="B241" s="383"/>
      <c r="C241" s="383"/>
      <c r="D241" s="383"/>
      <c r="E241" s="383"/>
    </row>
    <row r="242" spans="2:10" x14ac:dyDescent="0.3">
      <c r="B242" s="383"/>
      <c r="C242" s="383"/>
      <c r="D242" s="383"/>
      <c r="E242" s="383"/>
    </row>
    <row r="243" spans="2:10" ht="18.75" customHeight="1" x14ac:dyDescent="0.3">
      <c r="B243" s="412"/>
      <c r="C243" s="429"/>
      <c r="D243" s="429"/>
      <c r="E243" s="429"/>
    </row>
    <row r="244" spans="2:10" ht="18.75" customHeight="1" thickBot="1" x14ac:dyDescent="0.35">
      <c r="C244" s="353"/>
      <c r="D244" s="353"/>
      <c r="E244" s="353"/>
    </row>
    <row r="245" spans="2:10" s="326" customFormat="1" ht="18" thickTop="1" thickBot="1" x14ac:dyDescent="0.35">
      <c r="B245" s="430" t="s">
        <v>135</v>
      </c>
      <c r="C245" s="431" t="s">
        <v>30</v>
      </c>
      <c r="D245" s="431" t="s">
        <v>31</v>
      </c>
      <c r="E245" s="431" t="s">
        <v>32</v>
      </c>
      <c r="H245" s="357"/>
      <c r="I245" s="357"/>
      <c r="J245" s="357"/>
    </row>
    <row r="246" spans="2:10" s="326" customFormat="1" ht="18" thickTop="1" thickBot="1" x14ac:dyDescent="0.35">
      <c r="B246" s="361" t="s">
        <v>573</v>
      </c>
      <c r="C246" s="360">
        <f>[4]HAZİRAN!$C$21+[4]HAZİRAN!$C$22</f>
        <v>708815.78</v>
      </c>
      <c r="D246" s="360">
        <f>[4]HAZİRAN!$D$21+[4]HAZİRAN!$D$22</f>
        <v>123272.40600000002</v>
      </c>
      <c r="E246" s="360">
        <f>SUM(C246:D246)</f>
        <v>832088.18599999999</v>
      </c>
      <c r="H246" s="357"/>
      <c r="I246" s="357"/>
      <c r="J246" s="357"/>
    </row>
    <row r="247" spans="2:10" s="362" customFormat="1" ht="18" thickTop="1" thickBot="1" x14ac:dyDescent="0.35">
      <c r="B247" s="408"/>
      <c r="C247" s="409"/>
      <c r="D247" s="409"/>
      <c r="E247" s="409"/>
      <c r="H247" s="471"/>
      <c r="I247" s="471"/>
      <c r="J247" s="471"/>
    </row>
    <row r="248" spans="2:10" s="362" customFormat="1" ht="18" thickTop="1" thickBot="1" x14ac:dyDescent="0.35">
      <c r="B248" s="565" t="s">
        <v>187</v>
      </c>
      <c r="C248" s="566"/>
      <c r="D248" s="566"/>
      <c r="E248" s="567"/>
      <c r="H248" s="471"/>
      <c r="I248" s="471"/>
      <c r="J248" s="471"/>
    </row>
    <row r="249" spans="2:10" ht="18" thickTop="1" thickBot="1" x14ac:dyDescent="0.35">
      <c r="B249" s="332" t="str">
        <f>'YÜKLENİCİ ARAÇLARI'!C226</f>
        <v>BAYRAM YILMAZ</v>
      </c>
      <c r="C249" s="363">
        <f>'YÜKLENİCİ ARAÇLARI'!H226+'YÜKLENİCİ ARAÇLARI'!H227+'YÜKLENİCİ ARAÇLARI'!H230+'YÜKLENİCİ ARAÇLARI'!H231+'YÜKLENİCİ ARAÇLARI'!H232</f>
        <v>151710</v>
      </c>
      <c r="D249" s="363">
        <f>'YÜKLENİCİ ARAÇLARI'!I226+'YÜKLENİCİ ARAÇLARI'!I227+'YÜKLENİCİ ARAÇLARI'!I230+'YÜKLENİCİ ARAÇLARI'!I231+'YÜKLENİCİ ARAÇLARI'!I232</f>
        <v>30342</v>
      </c>
      <c r="E249" s="363">
        <f>'YÜKLENİCİ ARAÇLARI'!J226+'YÜKLENİCİ ARAÇLARI'!J227+'YÜKLENİCİ ARAÇLARI'!J230+'YÜKLENİCİ ARAÇLARI'!J231+'YÜKLENİCİ ARAÇLARI'!J232</f>
        <v>182052</v>
      </c>
    </row>
    <row r="250" spans="2:10" ht="18" thickTop="1" thickBot="1" x14ac:dyDescent="0.35">
      <c r="B250" s="332" t="str">
        <f>'YÜKLENİCİ ARAÇLARI'!C233</f>
        <v>BARIŞ YILMAZ</v>
      </c>
      <c r="C250" s="363">
        <f>'YÜKLENİCİ ARAÇLARI'!H233+'YÜKLENİCİ ARAÇLARI'!H234+'YÜKLENİCİ ARAÇLARI'!H235+'YÜKLENİCİ ARAÇLARI'!H240</f>
        <v>41050</v>
      </c>
      <c r="D250" s="363">
        <f>'YÜKLENİCİ ARAÇLARI'!I233+'YÜKLENİCİ ARAÇLARI'!I234+'YÜKLENİCİ ARAÇLARI'!I235+'YÜKLENİCİ ARAÇLARI'!I240</f>
        <v>8210</v>
      </c>
      <c r="E250" s="363">
        <f>'YÜKLENİCİ ARAÇLARI'!J233+'YÜKLENİCİ ARAÇLARI'!J234+'YÜKLENİCİ ARAÇLARI'!J235+'YÜKLENİCİ ARAÇLARI'!J240</f>
        <v>49260</v>
      </c>
    </row>
    <row r="251" spans="2:10" ht="18" thickTop="1" thickBot="1" x14ac:dyDescent="0.35">
      <c r="B251" s="393" t="str">
        <f>'YÜKLENİCİ ARAÇLARI'!C236</f>
        <v>MEHTAP ÖZCAN</v>
      </c>
      <c r="C251" s="364">
        <f>'YÜKLENİCİ ARAÇLARI'!H236+'YÜKLENİCİ ARAÇLARI'!H239</f>
        <v>48600</v>
      </c>
      <c r="D251" s="364">
        <f>'YÜKLENİCİ ARAÇLARI'!I236+'YÜKLENİCİ ARAÇLARI'!I239</f>
        <v>9720</v>
      </c>
      <c r="E251" s="364">
        <f>'YÜKLENİCİ ARAÇLARI'!J236+'YÜKLENİCİ ARAÇLARI'!J239</f>
        <v>58320</v>
      </c>
    </row>
    <row r="252" spans="2:10" ht="18" thickTop="1" thickBot="1" x14ac:dyDescent="0.35">
      <c r="B252" s="332" t="str">
        <f>'YÜKLENİCİ ARAÇLARI'!C238</f>
        <v>ADİL YILMAZ</v>
      </c>
      <c r="C252" s="364">
        <f>'YÜKLENİCİ ARAÇLARI'!H238</f>
        <v>27000</v>
      </c>
      <c r="D252" s="364">
        <f>'YÜKLENİCİ ARAÇLARI'!I238</f>
        <v>5400</v>
      </c>
      <c r="E252" s="364">
        <f>'YÜKLENİCİ ARAÇLARI'!J238</f>
        <v>32400</v>
      </c>
    </row>
    <row r="253" spans="2:10" ht="18" thickTop="1" thickBot="1" x14ac:dyDescent="0.35">
      <c r="B253" s="332" t="str">
        <f>'YÜKLENİCİ ARAÇLARI'!C241</f>
        <v>SEFA ÖZPİLAVI</v>
      </c>
      <c r="C253" s="364">
        <f>'YÜKLENİCİ ARAÇLARI'!H241</f>
        <v>32400</v>
      </c>
      <c r="D253" s="364">
        <f>'YÜKLENİCİ ARAÇLARI'!I241</f>
        <v>6480</v>
      </c>
      <c r="E253" s="364">
        <f>'YÜKLENİCİ ARAÇLARI'!J241</f>
        <v>38880</v>
      </c>
    </row>
    <row r="254" spans="2:10" ht="18" thickTop="1" thickBot="1" x14ac:dyDescent="0.35">
      <c r="B254" s="332" t="str">
        <f>'YÜKLENİCİ ARAÇLARI'!C244</f>
        <v>GÖKHAN IŞIK</v>
      </c>
      <c r="C254" s="366">
        <f>'YÜKLENİCİ ARAÇLARI'!H244+'YÜKLENİCİ ARAÇLARI'!H245</f>
        <v>96810</v>
      </c>
      <c r="D254" s="366">
        <f>'YÜKLENİCİ ARAÇLARI'!I244+'YÜKLENİCİ ARAÇLARI'!I245</f>
        <v>19362</v>
      </c>
      <c r="E254" s="366">
        <f>'YÜKLENİCİ ARAÇLARI'!J244+'YÜKLENİCİ ARAÇLARI'!J245</f>
        <v>116172</v>
      </c>
    </row>
    <row r="255" spans="2:10" ht="18" thickTop="1" thickBot="1" x14ac:dyDescent="0.35">
      <c r="B255" s="332" t="str">
        <f>'YÜKLENİCİ ARAÇLARI'!C248</f>
        <v>EROL ÖZTÜFEKÇİ</v>
      </c>
      <c r="C255" s="364">
        <f>'YÜKLENİCİ ARAÇLARI'!H248</f>
        <v>42000</v>
      </c>
      <c r="D255" s="364">
        <f>'YÜKLENİCİ ARAÇLARI'!I248</f>
        <v>8400</v>
      </c>
      <c r="E255" s="364">
        <f>'YÜKLENİCİ ARAÇLARI'!J248</f>
        <v>50400</v>
      </c>
    </row>
    <row r="256" spans="2:10" ht="18" thickTop="1" thickBot="1" x14ac:dyDescent="0.35">
      <c r="B256" s="332" t="str">
        <f>'YÜKLENİCİ ARAÇLARI'!C237</f>
        <v>EMİRCAN KURT</v>
      </c>
      <c r="C256" s="364">
        <f>'YÜKLENİCİ ARAÇLARI'!H237</f>
        <v>1500</v>
      </c>
      <c r="D256" s="364">
        <f>'YÜKLENİCİ ARAÇLARI'!I237</f>
        <v>300</v>
      </c>
      <c r="E256" s="364">
        <f>'YÜKLENİCİ ARAÇLARI'!J237</f>
        <v>1800</v>
      </c>
    </row>
    <row r="257" spans="2:5" ht="24" customHeight="1" thickTop="1" thickBot="1" x14ac:dyDescent="0.35">
      <c r="B257" s="432" t="s">
        <v>180</v>
      </c>
      <c r="C257" s="433">
        <f>SUM(C249:C256)</f>
        <v>441070</v>
      </c>
      <c r="D257" s="433">
        <f t="shared" ref="D257:E257" si="20">SUM(D249:D256)</f>
        <v>88214</v>
      </c>
      <c r="E257" s="433">
        <f t="shared" si="20"/>
        <v>529284</v>
      </c>
    </row>
    <row r="258" spans="2:5" ht="17.399999999999999" thickTop="1" x14ac:dyDescent="0.3"/>
    <row r="260" spans="2:5" ht="17.399999999999999" thickBot="1" x14ac:dyDescent="0.35">
      <c r="B260" s="342"/>
      <c r="C260" s="342"/>
      <c r="D260" s="342"/>
      <c r="E260" s="342"/>
    </row>
    <row r="261" spans="2:5" ht="18" thickTop="1" thickBot="1" x14ac:dyDescent="0.35">
      <c r="B261" s="351" t="s">
        <v>208</v>
      </c>
      <c r="C261" s="336">
        <f>C246-C257</f>
        <v>267745.78000000003</v>
      </c>
      <c r="D261" s="336">
        <f>D246-D257</f>
        <v>35058.406000000017</v>
      </c>
      <c r="E261" s="336">
        <f>E246-E257</f>
        <v>302804.18599999999</v>
      </c>
    </row>
    <row r="262" spans="2:5" ht="17.399999999999999" thickTop="1" x14ac:dyDescent="0.3">
      <c r="B262" s="574" t="s">
        <v>182</v>
      </c>
      <c r="C262" s="574"/>
      <c r="D262" s="574"/>
      <c r="E262" s="574"/>
    </row>
    <row r="263" spans="2:5" ht="17.399999999999999" thickBot="1" x14ac:dyDescent="0.35">
      <c r="B263" s="575"/>
      <c r="C263" s="575"/>
      <c r="D263" s="575"/>
      <c r="E263" s="575"/>
    </row>
    <row r="264" spans="2:5" ht="18" thickTop="1" thickBot="1" x14ac:dyDescent="0.35">
      <c r="B264" s="345" t="s">
        <v>181</v>
      </c>
      <c r="C264" s="346" t="s">
        <v>30</v>
      </c>
      <c r="D264" s="346" t="s">
        <v>31</v>
      </c>
      <c r="E264" s="346" t="s">
        <v>32</v>
      </c>
    </row>
    <row r="265" spans="2:5" ht="18" hidden="1" thickTop="1" thickBot="1" x14ac:dyDescent="0.35">
      <c r="B265" s="347" t="str">
        <f>'ŞİRKET ARAÇ'!C123</f>
        <v>54 S 0566</v>
      </c>
      <c r="C265" s="400">
        <f>'ŞİRKET ARAÇ'!G128+'ŞİRKET ARAÇ'!G132</f>
        <v>0</v>
      </c>
      <c r="D265" s="400">
        <f>C265*0.1</f>
        <v>0</v>
      </c>
      <c r="E265" s="400">
        <f>SUM(C265:D265)</f>
        <v>0</v>
      </c>
    </row>
    <row r="266" spans="2:5" ht="18" thickTop="1" thickBot="1" x14ac:dyDescent="0.35">
      <c r="B266" s="349" t="str">
        <f>'ŞİRKET ARAÇ'!C129</f>
        <v>54 S 0571</v>
      </c>
      <c r="C266" s="400">
        <f>'ŞİRKET ARAÇ'!G129+'ŞİRKET ARAÇ'!G130+'ŞİRKET ARAÇ'!G131</f>
        <v>108257.5</v>
      </c>
      <c r="D266" s="400">
        <f>'ŞİRKET ARAÇ'!J129+'ŞİRKET ARAÇ'!J130</f>
        <v>10825.75</v>
      </c>
      <c r="E266" s="400">
        <f>SUM(C266:D266)</f>
        <v>119083.25</v>
      </c>
    </row>
    <row r="267" spans="2:5" ht="18" thickTop="1" thickBot="1" x14ac:dyDescent="0.35">
      <c r="B267" s="349" t="str">
        <f>'ŞİRKET ARAÇ'!C127</f>
        <v>54 S 0859</v>
      </c>
      <c r="C267" s="400">
        <f>'ŞİRKET ARAÇ'!G127</f>
        <v>75000</v>
      </c>
      <c r="D267" s="400">
        <f>C267*0.1</f>
        <v>7500</v>
      </c>
      <c r="E267" s="400">
        <f>C267+D267</f>
        <v>82500</v>
      </c>
    </row>
    <row r="268" spans="2:5" ht="18" hidden="1" thickTop="1" thickBot="1" x14ac:dyDescent="0.35">
      <c r="B268" s="349" t="str">
        <f>'ŞİRKET ARAÇ'!C126</f>
        <v>54 S 0568</v>
      </c>
      <c r="C268" s="400">
        <f>'ŞİRKET ARAÇ'!G126</f>
        <v>0</v>
      </c>
      <c r="D268" s="400">
        <f>C268*0.1</f>
        <v>0</v>
      </c>
      <c r="E268" s="400">
        <f>SUM(C268:D268)</f>
        <v>0</v>
      </c>
    </row>
    <row r="269" spans="2:5" ht="18" hidden="1" thickTop="1" thickBot="1" x14ac:dyDescent="0.35">
      <c r="B269" s="349"/>
      <c r="C269" s="400"/>
      <c r="D269" s="400"/>
      <c r="E269" s="400"/>
    </row>
    <row r="270" spans="2:5" ht="18" thickTop="1" thickBot="1" x14ac:dyDescent="0.35">
      <c r="B270" s="434" t="s">
        <v>3</v>
      </c>
      <c r="C270" s="435">
        <f>SUM(C265:C268)</f>
        <v>183257.5</v>
      </c>
      <c r="D270" s="435">
        <f>SUM(D265:D268)</f>
        <v>18325.75</v>
      </c>
      <c r="E270" s="435">
        <f>SUM(E265:E268)</f>
        <v>201583.25</v>
      </c>
    </row>
    <row r="271" spans="2:5" ht="17.399999999999999" thickTop="1" x14ac:dyDescent="0.3">
      <c r="C271" s="353"/>
      <c r="D271" s="353"/>
      <c r="E271" s="353"/>
    </row>
    <row r="272" spans="2:5" x14ac:dyDescent="0.3">
      <c r="C272" s="339"/>
      <c r="D272" s="339"/>
    </row>
    <row r="273" spans="2:5" ht="17.399999999999999" thickBot="1" x14ac:dyDescent="0.35">
      <c r="B273" s="371" t="s">
        <v>178</v>
      </c>
      <c r="C273" s="342" t="s">
        <v>175</v>
      </c>
      <c r="D273" s="342" t="s">
        <v>176</v>
      </c>
      <c r="E273" s="342" t="s">
        <v>177</v>
      </c>
    </row>
    <row r="274" spans="2:5" ht="18.75" customHeight="1" thickTop="1" thickBot="1" x14ac:dyDescent="0.35">
      <c r="B274" s="351" t="s">
        <v>172</v>
      </c>
      <c r="C274" s="352">
        <f>C270</f>
        <v>183257.5</v>
      </c>
      <c r="D274" s="352">
        <f>D270</f>
        <v>18325.75</v>
      </c>
      <c r="E274" s="352">
        <f>SUM(C274:D274)</f>
        <v>201583.25</v>
      </c>
    </row>
    <row r="275" spans="2:5" ht="18.75" customHeight="1" thickTop="1" thickBot="1" x14ac:dyDescent="0.35">
      <c r="B275" s="334"/>
      <c r="C275" s="336"/>
      <c r="D275" s="336"/>
      <c r="E275" s="336"/>
    </row>
    <row r="276" spans="2:5" ht="18.75" customHeight="1" thickTop="1" thickBot="1" x14ac:dyDescent="0.35">
      <c r="B276" s="351" t="s">
        <v>173</v>
      </c>
      <c r="C276" s="352">
        <f>C246-C257-C270</f>
        <v>84488.280000000028</v>
      </c>
      <c r="D276" s="352">
        <f>D246-D257-D270</f>
        <v>16732.656000000017</v>
      </c>
      <c r="E276" s="352">
        <f>E246-E257-E270</f>
        <v>101220.93599999999</v>
      </c>
    </row>
    <row r="277" spans="2:5" ht="18" thickTop="1" thickBot="1" x14ac:dyDescent="0.35">
      <c r="B277" s="436" t="s">
        <v>174</v>
      </c>
      <c r="C277" s="436">
        <f>SUM(C274:C276)</f>
        <v>267745.78000000003</v>
      </c>
      <c r="D277" s="436">
        <f t="shared" ref="D277:E277" si="21">SUM(D274:D276)</f>
        <v>35058.406000000017</v>
      </c>
      <c r="E277" s="436">
        <f t="shared" si="21"/>
        <v>302804.18599999999</v>
      </c>
    </row>
    <row r="278" spans="2:5" ht="17.399999999999999" thickTop="1" x14ac:dyDescent="0.3">
      <c r="B278" s="383"/>
      <c r="C278" s="383"/>
      <c r="D278" s="383"/>
      <c r="E278" s="383"/>
    </row>
    <row r="279" spans="2:5" ht="18.75" customHeight="1" x14ac:dyDescent="0.3">
      <c r="B279" s="412"/>
      <c r="C279" s="429"/>
      <c r="D279" s="429"/>
      <c r="E279" s="429"/>
    </row>
    <row r="280" spans="2:5" ht="25.95" customHeight="1" x14ac:dyDescent="0.3"/>
    <row r="281" spans="2:5" ht="17.399999999999999" thickBot="1" x14ac:dyDescent="0.35"/>
    <row r="282" spans="2:5" ht="18" thickTop="1" thickBot="1" x14ac:dyDescent="0.35">
      <c r="B282" s="359" t="s">
        <v>154</v>
      </c>
      <c r="C282" s="360" t="s">
        <v>30</v>
      </c>
      <c r="D282" s="360" t="s">
        <v>31</v>
      </c>
      <c r="E282" s="360" t="s">
        <v>32</v>
      </c>
    </row>
    <row r="283" spans="2:5" ht="18" thickTop="1" thickBot="1" x14ac:dyDescent="0.35">
      <c r="B283" s="361" t="s">
        <v>573</v>
      </c>
      <c r="C283" s="360">
        <f>[4]HAZİRAN!$C$46</f>
        <v>78995</v>
      </c>
      <c r="D283" s="360">
        <f>C283*0.2</f>
        <v>15799</v>
      </c>
      <c r="E283" s="360">
        <f>SUM(C283:D283)</f>
        <v>94794</v>
      </c>
    </row>
    <row r="284" spans="2:5" ht="18" thickTop="1" thickBot="1" x14ac:dyDescent="0.35">
      <c r="B284" s="437"/>
      <c r="C284" s="438"/>
      <c r="D284" s="438"/>
      <c r="E284" s="439"/>
    </row>
    <row r="285" spans="2:5" ht="27" customHeight="1" thickTop="1" thickBot="1" x14ac:dyDescent="0.35">
      <c r="B285" s="552" t="s">
        <v>171</v>
      </c>
      <c r="C285" s="553"/>
      <c r="D285" s="553"/>
      <c r="E285" s="554"/>
    </row>
    <row r="286" spans="2:5" ht="24" customHeight="1" thickTop="1" thickBot="1" x14ac:dyDescent="0.35">
      <c r="B286" s="332" t="str">
        <f>'YÜKLENİCİ ARAÇLARI'!C317</f>
        <v>SAMET ERİŞİR</v>
      </c>
      <c r="C286" s="363">
        <f>'YÜKLENİCİ ARAÇLARI'!H317</f>
        <v>34200</v>
      </c>
      <c r="D286" s="363">
        <f>'YÜKLENİCİ ARAÇLARI'!I317</f>
        <v>6840</v>
      </c>
      <c r="E286" s="363">
        <f>SUM(C286:D286)</f>
        <v>41040</v>
      </c>
    </row>
    <row r="287" spans="2:5" ht="24" customHeight="1" thickTop="1" thickBot="1" x14ac:dyDescent="0.35">
      <c r="B287" s="332" t="str">
        <f>'YÜKLENİCİ ARAÇLARI'!C318</f>
        <v>MEHMET ELLİİKİ</v>
      </c>
      <c r="C287" s="363">
        <f>'YÜKLENİCİ ARAÇLARI'!H318</f>
        <v>26100</v>
      </c>
      <c r="D287" s="363"/>
      <c r="E287" s="363">
        <f>SUM(C287:D287)</f>
        <v>26100</v>
      </c>
    </row>
    <row r="288" spans="2:5" ht="25.5" customHeight="1" thickTop="1" thickBot="1" x14ac:dyDescent="0.35">
      <c r="B288" s="440" t="s">
        <v>3</v>
      </c>
      <c r="C288" s="441">
        <f>SUM(C286:C287)</f>
        <v>60300</v>
      </c>
      <c r="D288" s="441">
        <f>D286+D287</f>
        <v>6840</v>
      </c>
      <c r="E288" s="441">
        <f>E286+E287</f>
        <v>67140</v>
      </c>
    </row>
    <row r="289" spans="2:10" ht="17.25" customHeight="1" thickTop="1" x14ac:dyDescent="0.3">
      <c r="C289" s="383"/>
      <c r="D289" s="383"/>
      <c r="E289" s="383"/>
    </row>
    <row r="290" spans="2:10" ht="17.25" customHeight="1" x14ac:dyDescent="0.3">
      <c r="C290" s="383"/>
      <c r="D290" s="383"/>
      <c r="E290" s="383"/>
    </row>
    <row r="291" spans="2:10" ht="17.25" customHeight="1" thickBot="1" x14ac:dyDescent="0.35">
      <c r="B291" s="404"/>
      <c r="C291" s="404" t="s">
        <v>30</v>
      </c>
      <c r="D291" s="404" t="s">
        <v>31</v>
      </c>
      <c r="E291" s="404" t="s">
        <v>3</v>
      </c>
    </row>
    <row r="292" spans="2:10" ht="22.5" customHeight="1" thickTop="1" thickBot="1" x14ac:dyDescent="0.35">
      <c r="B292" s="334" t="s">
        <v>188</v>
      </c>
      <c r="C292" s="336">
        <f>C283-C286-C287</f>
        <v>18695</v>
      </c>
      <c r="D292" s="336">
        <f>D283-D286-D287</f>
        <v>8959</v>
      </c>
      <c r="E292" s="336">
        <f>E283-E286-E287</f>
        <v>27654</v>
      </c>
    </row>
    <row r="293" spans="2:10" ht="17.25" customHeight="1" thickTop="1" x14ac:dyDescent="0.3">
      <c r="C293" s="339"/>
      <c r="D293" s="339"/>
    </row>
    <row r="294" spans="2:10" ht="17.25" customHeight="1" x14ac:dyDescent="0.3">
      <c r="C294" s="339"/>
      <c r="D294" s="339"/>
    </row>
    <row r="295" spans="2:10" ht="17.25" customHeight="1" thickBot="1" x14ac:dyDescent="0.35">
      <c r="B295" s="403" t="s">
        <v>178</v>
      </c>
      <c r="C295" s="404" t="s">
        <v>175</v>
      </c>
      <c r="D295" s="404" t="s">
        <v>176</v>
      </c>
      <c r="E295" s="404" t="s">
        <v>177</v>
      </c>
    </row>
    <row r="296" spans="2:10" ht="19.2" customHeight="1" thickTop="1" thickBot="1" x14ac:dyDescent="0.35">
      <c r="B296" s="334" t="s">
        <v>172</v>
      </c>
      <c r="C296" s="336">
        <v>0</v>
      </c>
      <c r="D296" s="336"/>
      <c r="E296" s="336"/>
    </row>
    <row r="297" spans="2:10" ht="18" thickTop="1" thickBot="1" x14ac:dyDescent="0.35">
      <c r="B297" s="394" t="s">
        <v>173</v>
      </c>
      <c r="C297" s="442">
        <f>C292</f>
        <v>18695</v>
      </c>
      <c r="D297" s="442">
        <f t="shared" ref="D297:E297" si="22">D292</f>
        <v>8959</v>
      </c>
      <c r="E297" s="442">
        <f t="shared" si="22"/>
        <v>27654</v>
      </c>
    </row>
    <row r="298" spans="2:10" ht="17.399999999999999" thickTop="1" x14ac:dyDescent="0.3">
      <c r="C298" s="353"/>
      <c r="D298" s="353"/>
      <c r="E298" s="353"/>
    </row>
    <row r="299" spans="2:10" ht="17.399999999999999" thickBot="1" x14ac:dyDescent="0.35">
      <c r="C299" s="353"/>
      <c r="D299" s="353"/>
      <c r="E299" s="353"/>
    </row>
    <row r="300" spans="2:10" s="326" customFormat="1" ht="24" customHeight="1" thickTop="1" thickBot="1" x14ac:dyDescent="0.35">
      <c r="B300" s="359" t="s">
        <v>155</v>
      </c>
      <c r="C300" s="360" t="s">
        <v>30</v>
      </c>
      <c r="D300" s="360" t="s">
        <v>31</v>
      </c>
      <c r="E300" s="360" t="s">
        <v>32</v>
      </c>
      <c r="H300" s="357"/>
      <c r="I300" s="357"/>
      <c r="J300" s="357"/>
    </row>
    <row r="301" spans="2:10" s="326" customFormat="1" ht="24" customHeight="1" thickTop="1" thickBot="1" x14ac:dyDescent="0.35">
      <c r="B301" s="361" t="s">
        <v>573</v>
      </c>
      <c r="C301" s="443">
        <f>[4]HAZİRAN!$C$10+[4]HAZİRAN!$C$11</f>
        <v>1604710</v>
      </c>
      <c r="D301" s="360">
        <f>[4]HAZİRAN!$D$10+[4]HAZİRAN!$D$11</f>
        <v>300362</v>
      </c>
      <c r="E301" s="360">
        <f>SUM(C301:D301)</f>
        <v>1905072</v>
      </c>
      <c r="H301" s="357"/>
      <c r="I301" s="357"/>
      <c r="J301" s="357"/>
    </row>
    <row r="302" spans="2:10" ht="18" thickTop="1" thickBot="1" x14ac:dyDescent="0.35">
      <c r="B302" s="437"/>
      <c r="C302" s="438"/>
      <c r="D302" s="438"/>
      <c r="E302" s="439"/>
    </row>
    <row r="303" spans="2:10" ht="18" thickTop="1" thickBot="1" x14ac:dyDescent="0.35">
      <c r="B303" s="555" t="s">
        <v>171</v>
      </c>
      <c r="C303" s="556"/>
      <c r="D303" s="556"/>
      <c r="E303" s="557"/>
    </row>
    <row r="304" spans="2:10" ht="18" thickTop="1" thickBot="1" x14ac:dyDescent="0.35">
      <c r="B304" s="334" t="str">
        <f>'YÜKLENİCİ ARAÇLARI'!C252</f>
        <v>MEHMET AVAR</v>
      </c>
      <c r="C304" s="364">
        <f>'YÜKLENİCİ ARAÇLARI'!H252+'YÜKLENİCİ ARAÇLARI'!H253+'YÜKLENİCİ ARAÇLARI'!H254+'YÜKLENİCİ ARAÇLARI'!H255+'YÜKLENİCİ ARAÇLARI'!H256+'YÜKLENİCİ ARAÇLARI'!H257+'YÜKLENİCİ ARAÇLARI'!H258+'YÜKLENİCİ ARAÇLARI'!H259+'YÜKLENİCİ ARAÇLARI'!H260+'YÜKLENİCİ ARAÇLARI'!H261+'YÜKLENİCİ ARAÇLARI'!H262+'YÜKLENİCİ ARAÇLARI'!H263+'YÜKLENİCİ ARAÇLARI'!H271+'YÜKLENİCİ ARAÇLARI'!H272+'YÜKLENİCİ ARAÇLARI'!H273+'YÜKLENİCİ ARAÇLARI'!H274+'YÜKLENİCİ ARAÇLARI'!H264</f>
        <v>505800</v>
      </c>
      <c r="D304" s="364">
        <f>'YÜKLENİCİ ARAÇLARI'!I252+'YÜKLENİCİ ARAÇLARI'!I253+'YÜKLENİCİ ARAÇLARI'!I254+'YÜKLENİCİ ARAÇLARI'!I255+'YÜKLENİCİ ARAÇLARI'!I256+'YÜKLENİCİ ARAÇLARI'!I257+'YÜKLENİCİ ARAÇLARI'!I258+'YÜKLENİCİ ARAÇLARI'!I259+'YÜKLENİCİ ARAÇLARI'!I260+'YÜKLENİCİ ARAÇLARI'!I261+'YÜKLENİCİ ARAÇLARI'!I262+'YÜKLENİCİ ARAÇLARI'!I263+'YÜKLENİCİ ARAÇLARI'!I271+'YÜKLENİCİ ARAÇLARI'!I272+'YÜKLENİCİ ARAÇLARI'!I273+'YÜKLENİCİ ARAÇLARI'!I274+'YÜKLENİCİ ARAÇLARI'!I264</f>
        <v>101160</v>
      </c>
      <c r="E304" s="364">
        <f>'YÜKLENİCİ ARAÇLARI'!J252+'YÜKLENİCİ ARAÇLARI'!J253+'YÜKLENİCİ ARAÇLARI'!J254+'YÜKLENİCİ ARAÇLARI'!J255+'YÜKLENİCİ ARAÇLARI'!J256+'YÜKLENİCİ ARAÇLARI'!J257+'YÜKLENİCİ ARAÇLARI'!J258+'YÜKLENİCİ ARAÇLARI'!J259+'YÜKLENİCİ ARAÇLARI'!J260+'YÜKLENİCİ ARAÇLARI'!J261+'YÜKLENİCİ ARAÇLARI'!J262+'YÜKLENİCİ ARAÇLARI'!J263+'YÜKLENİCİ ARAÇLARI'!J271+'YÜKLENİCİ ARAÇLARI'!J272+'YÜKLENİCİ ARAÇLARI'!J273+'YÜKLENİCİ ARAÇLARI'!J274+'YÜKLENİCİ ARAÇLARI'!J264</f>
        <v>606960</v>
      </c>
    </row>
    <row r="305" spans="2:5" ht="18" thickTop="1" thickBot="1" x14ac:dyDescent="0.35">
      <c r="B305" s="334" t="str">
        <f>'YÜKLENİCİ ARAÇLARI'!C265</f>
        <v>HALİL OKUMUŞ</v>
      </c>
      <c r="C305" s="364">
        <f>'YÜKLENİCİ ARAÇLARI'!H265+'YÜKLENİCİ ARAÇLARI'!H266</f>
        <v>77400</v>
      </c>
      <c r="D305" s="364">
        <f>'YÜKLENİCİ ARAÇLARI'!I265+'YÜKLENİCİ ARAÇLARI'!I266</f>
        <v>15480</v>
      </c>
      <c r="E305" s="364">
        <f>'YÜKLENİCİ ARAÇLARI'!J265+'YÜKLENİCİ ARAÇLARI'!J266</f>
        <v>92880</v>
      </c>
    </row>
    <row r="306" spans="2:5" ht="18" thickTop="1" thickBot="1" x14ac:dyDescent="0.35">
      <c r="B306" s="334" t="str">
        <f>'YÜKLENİCİ ARAÇLARI'!C267</f>
        <v>UFUK KÖYMEN</v>
      </c>
      <c r="C306" s="364">
        <f>'YÜKLENİCİ ARAÇLARI'!H267+'YÜKLENİCİ ARAÇLARI'!H268+'YÜKLENİCİ ARAÇLARI'!H277+'YÜKLENİCİ ARAÇLARI'!H278+'YÜKLENİCİ ARAÇLARI'!H280+'YÜKLENİCİ ARAÇLARI'!H279</f>
        <v>202500</v>
      </c>
      <c r="D306" s="364">
        <f>'YÜKLENİCİ ARAÇLARI'!I267+'YÜKLENİCİ ARAÇLARI'!I268+'YÜKLENİCİ ARAÇLARI'!I277+'YÜKLENİCİ ARAÇLARI'!I278+'YÜKLENİCİ ARAÇLARI'!I280+'YÜKLENİCİ ARAÇLARI'!I279</f>
        <v>40500</v>
      </c>
      <c r="E306" s="364">
        <f>'YÜKLENİCİ ARAÇLARI'!J267+'YÜKLENİCİ ARAÇLARI'!J268+'YÜKLENİCİ ARAÇLARI'!J277+'YÜKLENİCİ ARAÇLARI'!J278+'YÜKLENİCİ ARAÇLARI'!J280+'YÜKLENİCİ ARAÇLARI'!J279</f>
        <v>243000</v>
      </c>
    </row>
    <row r="307" spans="2:5" ht="18" thickTop="1" thickBot="1" x14ac:dyDescent="0.35">
      <c r="B307" s="334" t="str">
        <f>'YÜKLENİCİ ARAÇLARI'!C269</f>
        <v>SERCAN AVCI</v>
      </c>
      <c r="C307" s="364">
        <f>'YÜKLENİCİ ARAÇLARI'!H269+'YÜKLENİCİ ARAÇLARI'!H270</f>
        <v>144800</v>
      </c>
      <c r="D307" s="364">
        <f>'YÜKLENİCİ ARAÇLARI'!I269+'YÜKLENİCİ ARAÇLARI'!I270</f>
        <v>28960</v>
      </c>
      <c r="E307" s="364">
        <f>'YÜKLENİCİ ARAÇLARI'!J269+'YÜKLENİCİ ARAÇLARI'!J270</f>
        <v>173760</v>
      </c>
    </row>
    <row r="308" spans="2:5" ht="18" thickTop="1" thickBot="1" x14ac:dyDescent="0.35">
      <c r="B308" s="334" t="str">
        <f>'YÜKLENİCİ ARAÇLARI'!C275</f>
        <v>FUAT YÜCE</v>
      </c>
      <c r="C308" s="364">
        <f>'YÜKLENİCİ ARAÇLARI'!H275+'YÜKLENİCİ ARAÇLARI'!H276</f>
        <v>78000</v>
      </c>
      <c r="D308" s="364">
        <f>'YÜKLENİCİ ARAÇLARI'!I275+'YÜKLENİCİ ARAÇLARI'!I276</f>
        <v>15600</v>
      </c>
      <c r="E308" s="364">
        <f>'YÜKLENİCİ ARAÇLARI'!J275+'YÜKLENİCİ ARAÇLARI'!J276</f>
        <v>93600</v>
      </c>
    </row>
    <row r="309" spans="2:5" ht="28.5" customHeight="1" thickTop="1" thickBot="1" x14ac:dyDescent="0.35">
      <c r="B309" s="444"/>
      <c r="C309" s="445">
        <f>SUM(C304:C308)</f>
        <v>1008500</v>
      </c>
      <c r="D309" s="445">
        <f>SUM(D304:D308)</f>
        <v>201700</v>
      </c>
      <c r="E309" s="445">
        <f>SUM(E304:E308)</f>
        <v>1210200</v>
      </c>
    </row>
    <row r="310" spans="2:5" ht="17.25" customHeight="1" thickTop="1" thickBot="1" x14ac:dyDescent="0.35">
      <c r="C310" s="383"/>
      <c r="D310" s="383"/>
      <c r="E310" s="383"/>
    </row>
    <row r="311" spans="2:5" ht="24" customHeight="1" thickTop="1" thickBot="1" x14ac:dyDescent="0.35">
      <c r="B311" s="394" t="s">
        <v>208</v>
      </c>
      <c r="C311" s="342" t="s">
        <v>30</v>
      </c>
      <c r="D311" s="342" t="s">
        <v>31</v>
      </c>
      <c r="E311" s="342" t="s">
        <v>3</v>
      </c>
    </row>
    <row r="312" spans="2:5" ht="24" customHeight="1" thickTop="1" thickBot="1" x14ac:dyDescent="0.35">
      <c r="B312" s="334" t="s">
        <v>188</v>
      </c>
      <c r="C312" s="336">
        <f>C301-C309</f>
        <v>596210</v>
      </c>
      <c r="D312" s="336">
        <f>D301-D309</f>
        <v>98662</v>
      </c>
      <c r="E312" s="336">
        <f>E301-E309</f>
        <v>694872</v>
      </c>
    </row>
    <row r="313" spans="2:5" ht="17.25" customHeight="1" thickTop="1" x14ac:dyDescent="0.3">
      <c r="C313" s="339"/>
      <c r="D313" s="339"/>
    </row>
    <row r="314" spans="2:5" ht="17.399999999999999" customHeight="1" thickBot="1" x14ac:dyDescent="0.35">
      <c r="C314" s="339"/>
      <c r="D314" s="339"/>
    </row>
    <row r="315" spans="2:5" ht="24" customHeight="1" thickTop="1" thickBot="1" x14ac:dyDescent="0.35">
      <c r="B315" s="345" t="s">
        <v>181</v>
      </c>
      <c r="C315" s="346" t="s">
        <v>30</v>
      </c>
      <c r="D315" s="346" t="s">
        <v>31</v>
      </c>
      <c r="E315" s="346" t="s">
        <v>32</v>
      </c>
    </row>
    <row r="316" spans="2:5" ht="24" customHeight="1" thickTop="1" thickBot="1" x14ac:dyDescent="0.35">
      <c r="B316" s="347" t="str">
        <f>'ŞİRKET ARAÇ'!C160</f>
        <v>54 S 0566</v>
      </c>
      <c r="C316" s="399">
        <f>'ŞİRKET ARAÇ'!G160</f>
        <v>109200</v>
      </c>
      <c r="D316" s="399">
        <f>'ŞİRKET ARAÇ'!J160</f>
        <v>10920</v>
      </c>
      <c r="E316" s="399">
        <f>SUM(C316:D316)</f>
        <v>120120</v>
      </c>
    </row>
    <row r="317" spans="2:5" ht="24" customHeight="1" thickTop="1" thickBot="1" x14ac:dyDescent="0.35">
      <c r="B317" s="349" t="str">
        <f>'ŞİRKET ARAÇ'!C162</f>
        <v>54 S 0563</v>
      </c>
      <c r="C317" s="417">
        <f>'ŞİRKET ARAÇ'!G161+'ŞİRKET ARAÇ'!G162</f>
        <v>96600</v>
      </c>
      <c r="D317" s="417">
        <f>'ŞİRKET ARAÇ'!J161+'ŞİRKET ARAÇ'!J162</f>
        <v>9660</v>
      </c>
      <c r="E317" s="399">
        <f>SUM(C317:D317)</f>
        <v>106260</v>
      </c>
    </row>
    <row r="318" spans="2:5" ht="24" customHeight="1" thickTop="1" thickBot="1" x14ac:dyDescent="0.35">
      <c r="B318" s="432" t="s">
        <v>3</v>
      </c>
      <c r="C318" s="433">
        <f>SUM(C316:C317)</f>
        <v>205800</v>
      </c>
      <c r="D318" s="433">
        <f t="shared" ref="D318:E318" si="23">SUM(D316:D317)</f>
        <v>20580</v>
      </c>
      <c r="E318" s="433">
        <f t="shared" si="23"/>
        <v>226380</v>
      </c>
    </row>
    <row r="319" spans="2:5" ht="24" customHeight="1" thickTop="1" x14ac:dyDescent="0.3">
      <c r="C319" s="339"/>
      <c r="D319" s="339"/>
    </row>
    <row r="320" spans="2:5" ht="24" customHeight="1" thickBot="1" x14ac:dyDescent="0.35">
      <c r="B320" s="371" t="s">
        <v>178</v>
      </c>
      <c r="C320" s="342" t="s">
        <v>175</v>
      </c>
      <c r="D320" s="342" t="s">
        <v>176</v>
      </c>
      <c r="E320" s="342" t="s">
        <v>177</v>
      </c>
    </row>
    <row r="321" spans="2:10" ht="24" customHeight="1" thickTop="1" thickBot="1" x14ac:dyDescent="0.35">
      <c r="B321" s="446" t="s">
        <v>172</v>
      </c>
      <c r="C321" s="447">
        <f>'ŞİRKET ARAÇ'!G160</f>
        <v>109200</v>
      </c>
      <c r="D321" s="447">
        <f>'ŞİRKET ARAÇ'!J160</f>
        <v>10920</v>
      </c>
      <c r="E321" s="447">
        <f>SUM(C321:D321)</f>
        <v>120120</v>
      </c>
    </row>
    <row r="322" spans="2:10" ht="24" customHeight="1" thickTop="1" thickBot="1" x14ac:dyDescent="0.35">
      <c r="B322" s="448" t="s">
        <v>173</v>
      </c>
      <c r="C322" s="449">
        <f>C301-C309-C318</f>
        <v>390410</v>
      </c>
      <c r="D322" s="449">
        <f>D301-D309-D318</f>
        <v>78082</v>
      </c>
      <c r="E322" s="449">
        <f>E301-E309-E318</f>
        <v>468492</v>
      </c>
    </row>
    <row r="323" spans="2:10" ht="24" customHeight="1" thickTop="1" thickBot="1" x14ac:dyDescent="0.35">
      <c r="B323" s="450" t="s">
        <v>533</v>
      </c>
      <c r="C323" s="428">
        <f>SUM(C321:C322)</f>
        <v>499610</v>
      </c>
      <c r="D323" s="428">
        <f t="shared" ref="D323:E323" si="24">SUM(D321:D322)</f>
        <v>89002</v>
      </c>
      <c r="E323" s="428">
        <f t="shared" si="24"/>
        <v>588612</v>
      </c>
    </row>
    <row r="324" spans="2:10" ht="24" customHeight="1" thickTop="1" x14ac:dyDescent="0.3">
      <c r="B324" s="440"/>
      <c r="C324" s="451"/>
      <c r="D324" s="451"/>
      <c r="E324" s="451"/>
    </row>
    <row r="325" spans="2:10" x14ac:dyDescent="0.3">
      <c r="C325" s="383"/>
      <c r="D325" s="383"/>
      <c r="E325" s="383"/>
    </row>
    <row r="326" spans="2:10" s="326" customFormat="1" ht="17.399999999999999" thickBot="1" x14ac:dyDescent="0.35">
      <c r="B326" s="339"/>
      <c r="C326" s="354"/>
      <c r="D326" s="354"/>
      <c r="E326" s="354"/>
      <c r="H326" s="357"/>
      <c r="I326" s="357"/>
      <c r="J326" s="357"/>
    </row>
    <row r="327" spans="2:10" s="326" customFormat="1" ht="24" customHeight="1" thickTop="1" thickBot="1" x14ac:dyDescent="0.35">
      <c r="B327" s="359" t="s">
        <v>164</v>
      </c>
      <c r="C327" s="360" t="s">
        <v>30</v>
      </c>
      <c r="D327" s="360" t="s">
        <v>31</v>
      </c>
      <c r="E327" s="360" t="s">
        <v>32</v>
      </c>
      <c r="H327" s="357"/>
      <c r="I327" s="357"/>
      <c r="J327" s="357"/>
    </row>
    <row r="328" spans="2:10" s="362" customFormat="1" ht="24" customHeight="1" thickTop="1" thickBot="1" x14ac:dyDescent="0.35">
      <c r="B328" s="361" t="s">
        <v>573</v>
      </c>
      <c r="C328" s="360">
        <f>[4]HAZİRAN!$C$28+[4]HAZİRAN!$C$29</f>
        <v>882450</v>
      </c>
      <c r="D328" s="360">
        <f>[4]HAZİRAN!$D$28+[4]HAZİRAN!$D$29</f>
        <v>144752.5</v>
      </c>
      <c r="E328" s="360">
        <f>SUM(C328:D328)</f>
        <v>1027202.5</v>
      </c>
      <c r="H328" s="471"/>
      <c r="I328" s="471"/>
      <c r="J328" s="471"/>
    </row>
    <row r="329" spans="2:10" s="362" customFormat="1" ht="18" thickTop="1" thickBot="1" x14ac:dyDescent="0.35">
      <c r="B329" s="452"/>
      <c r="C329" s="453"/>
      <c r="D329" s="453"/>
      <c r="E329" s="453"/>
      <c r="H329" s="471"/>
      <c r="I329" s="471"/>
      <c r="J329" s="471"/>
    </row>
    <row r="330" spans="2:10" ht="27" customHeight="1" thickTop="1" thickBot="1" x14ac:dyDescent="0.35">
      <c r="B330" s="582" t="s">
        <v>183</v>
      </c>
      <c r="C330" s="582"/>
      <c r="D330" s="582"/>
      <c r="E330" s="582"/>
    </row>
    <row r="331" spans="2:10" ht="24" customHeight="1" thickTop="1" thickBot="1" x14ac:dyDescent="0.35">
      <c r="B331" s="334" t="str">
        <f>'YÜKLENİCİ ARAÇLARI'!C284</f>
        <v>EYÜP ERDİ TÜREDİ</v>
      </c>
      <c r="C331" s="364">
        <f>'YÜKLENİCİ ARAÇLARI'!H284+'YÜKLENİCİ ARAÇLARI'!H285+'YÜKLENİCİ ARAÇLARI'!H286+'YÜKLENİCİ ARAÇLARI'!H287</f>
        <v>136350</v>
      </c>
      <c r="D331" s="364">
        <f>'YÜKLENİCİ ARAÇLARI'!I284+'YÜKLENİCİ ARAÇLARI'!I285+'YÜKLENİCİ ARAÇLARI'!I286+'YÜKLENİCİ ARAÇLARI'!I287</f>
        <v>27270</v>
      </c>
      <c r="E331" s="364">
        <f>'YÜKLENİCİ ARAÇLARI'!J284+'YÜKLENİCİ ARAÇLARI'!J285+'YÜKLENİCİ ARAÇLARI'!J286+'YÜKLENİCİ ARAÇLARI'!J287</f>
        <v>163620</v>
      </c>
    </row>
    <row r="332" spans="2:10" ht="24" customHeight="1" thickTop="1" thickBot="1" x14ac:dyDescent="0.35">
      <c r="B332" s="334" t="str">
        <f>'YÜKLENİCİ ARAÇLARI'!C288</f>
        <v>RIDVAN BARIŞ İSLAM</v>
      </c>
      <c r="C332" s="364">
        <f>'YÜKLENİCİ ARAÇLARI'!H288</f>
        <v>37800</v>
      </c>
      <c r="D332" s="364">
        <f>'YÜKLENİCİ ARAÇLARI'!I288</f>
        <v>7560</v>
      </c>
      <c r="E332" s="364">
        <f>'YÜKLENİCİ ARAÇLARI'!J288</f>
        <v>45360</v>
      </c>
    </row>
    <row r="333" spans="2:10" ht="24" customHeight="1" thickTop="1" thickBot="1" x14ac:dyDescent="0.35">
      <c r="B333" s="334" t="str">
        <f>'YÜKLENİCİ ARAÇLARI'!C289</f>
        <v>HALİL BÜYÜKTANZİM/ADİL</v>
      </c>
      <c r="C333" s="364">
        <f>'YÜKLENİCİ ARAÇLARI'!H289</f>
        <v>32400</v>
      </c>
      <c r="D333" s="364">
        <f>'YÜKLENİCİ ARAÇLARI'!I289</f>
        <v>6480</v>
      </c>
      <c r="E333" s="364">
        <f>'YÜKLENİCİ ARAÇLARI'!J289</f>
        <v>38880</v>
      </c>
    </row>
    <row r="334" spans="2:10" ht="24" customHeight="1" thickTop="1" thickBot="1" x14ac:dyDescent="0.35">
      <c r="B334" s="334" t="str">
        <f>'YÜKLENİCİ ARAÇLARI'!C290</f>
        <v>ADİL YILMAZ/M ÇİLEK</v>
      </c>
      <c r="C334" s="364">
        <f>'YÜKLENİCİ ARAÇLARI'!H290+'YÜKLENİCİ ARAÇLARI'!H291+'YÜKLENİCİ ARAÇLARI'!H292+'YÜKLENİCİ ARAÇLARI'!H293+'YÜKLENİCİ ARAÇLARI'!H294</f>
        <v>93020</v>
      </c>
      <c r="D334" s="364">
        <f>'YÜKLENİCİ ARAÇLARI'!I290+'YÜKLENİCİ ARAÇLARI'!I291+'YÜKLENİCİ ARAÇLARI'!I292+'YÜKLENİCİ ARAÇLARI'!I293+'YÜKLENİCİ ARAÇLARI'!I294</f>
        <v>18604</v>
      </c>
      <c r="E334" s="364">
        <f>'YÜKLENİCİ ARAÇLARI'!J290+'YÜKLENİCİ ARAÇLARI'!J291+'YÜKLENİCİ ARAÇLARI'!J292+'YÜKLENİCİ ARAÇLARI'!J293+'YÜKLENİCİ ARAÇLARI'!J294</f>
        <v>111624</v>
      </c>
    </row>
    <row r="335" spans="2:10" ht="24" customHeight="1" thickTop="1" thickBot="1" x14ac:dyDescent="0.35">
      <c r="B335" s="334" t="str">
        <f>'YÜKLENİCİ ARAÇLARI'!C295</f>
        <v>FEDAİ AKTAŞ</v>
      </c>
      <c r="C335" s="364">
        <f>'YÜKLENİCİ ARAÇLARI'!H295</f>
        <v>54000</v>
      </c>
      <c r="D335" s="364">
        <f>'YÜKLENİCİ ARAÇLARI'!I295</f>
        <v>10800</v>
      </c>
      <c r="E335" s="364">
        <f>'YÜKLENİCİ ARAÇLARI'!J295</f>
        <v>64800</v>
      </c>
    </row>
    <row r="336" spans="2:10" ht="24" customHeight="1" thickTop="1" thickBot="1" x14ac:dyDescent="0.35">
      <c r="B336" s="334" t="str">
        <f>'YÜKLENİCİ ARAÇLARI'!C296</f>
        <v>ENES YILMAZ/HASAN AKDAĞCI</v>
      </c>
      <c r="C336" s="364">
        <f>'YÜKLENİCİ ARAÇLARI'!H296</f>
        <v>58800</v>
      </c>
      <c r="D336" s="364">
        <f>'YÜKLENİCİ ARAÇLARI'!I296</f>
        <v>11760</v>
      </c>
      <c r="E336" s="364">
        <f>'YÜKLENİCİ ARAÇLARI'!J296</f>
        <v>70560</v>
      </c>
    </row>
    <row r="337" spans="2:10" ht="24" customHeight="1" thickTop="1" thickBot="1" x14ac:dyDescent="0.35">
      <c r="B337" s="334" t="str">
        <f>'YÜKLENİCİ ARAÇLARI'!C297</f>
        <v>KADİR TUNCEL</v>
      </c>
      <c r="C337" s="364">
        <f>'YÜKLENİCİ ARAÇLARI'!H297</f>
        <v>32400</v>
      </c>
      <c r="D337" s="364">
        <f>'YÜKLENİCİ ARAÇLARI'!I297</f>
        <v>6480</v>
      </c>
      <c r="E337" s="364">
        <f>'YÜKLENİCİ ARAÇLARI'!J297</f>
        <v>38880</v>
      </c>
    </row>
    <row r="338" spans="2:10" ht="24" customHeight="1" thickTop="1" thickBot="1" x14ac:dyDescent="0.35">
      <c r="B338" s="334" t="str">
        <f>'YÜKLENİCİ ARAÇLARI'!C301</f>
        <v>EMİRCAN KURT</v>
      </c>
      <c r="C338" s="364">
        <f>'YÜKLENİCİ ARAÇLARI'!H301</f>
        <v>1400</v>
      </c>
      <c r="D338" s="364">
        <f>'YÜKLENİCİ ARAÇLARI'!I301</f>
        <v>280</v>
      </c>
      <c r="E338" s="364">
        <f>'YÜKLENİCİ ARAÇLARI'!J301</f>
        <v>1680</v>
      </c>
    </row>
    <row r="339" spans="2:10" ht="24" customHeight="1" thickTop="1" thickBot="1" x14ac:dyDescent="0.35">
      <c r="B339" s="334" t="str">
        <f>'YÜKLENİCİ ARAÇLARI'!C300</f>
        <v>MUSTAFA ÖZTÜRK</v>
      </c>
      <c r="C339" s="364">
        <f>'YÜKLENİCİ ARAÇLARI'!H300</f>
        <v>19800</v>
      </c>
      <c r="D339" s="364">
        <f>'YÜKLENİCİ ARAÇLARI'!I300</f>
        <v>3960</v>
      </c>
      <c r="E339" s="364">
        <f>'YÜKLENİCİ ARAÇLARI'!J300</f>
        <v>23760</v>
      </c>
    </row>
    <row r="340" spans="2:10" s="326" customFormat="1" ht="24" customHeight="1" thickTop="1" thickBot="1" x14ac:dyDescent="0.35">
      <c r="B340" s="434" t="s">
        <v>184</v>
      </c>
      <c r="C340" s="435">
        <f>SUM(C331:C339)</f>
        <v>465970</v>
      </c>
      <c r="D340" s="435">
        <f>SUM(D331:D339)</f>
        <v>93194</v>
      </c>
      <c r="E340" s="435">
        <f>SUM(E331:E339)</f>
        <v>559164</v>
      </c>
      <c r="H340" s="357"/>
      <c r="I340" s="357"/>
      <c r="J340" s="357"/>
    </row>
    <row r="341" spans="2:10" ht="17.399999999999999" thickTop="1" x14ac:dyDescent="0.3">
      <c r="C341" s="383"/>
      <c r="D341" s="383"/>
      <c r="E341" s="383"/>
      <c r="G341" s="331" t="s">
        <v>292</v>
      </c>
    </row>
    <row r="342" spans="2:10" ht="17.399999999999999" thickBot="1" x14ac:dyDescent="0.35">
      <c r="B342" s="404"/>
      <c r="C342" s="454" t="s">
        <v>30</v>
      </c>
      <c r="D342" s="454" t="s">
        <v>31</v>
      </c>
      <c r="E342" s="454" t="s">
        <v>3</v>
      </c>
    </row>
    <row r="343" spans="2:10" ht="24" customHeight="1" thickTop="1" thickBot="1" x14ac:dyDescent="0.35">
      <c r="B343" s="351" t="s">
        <v>208</v>
      </c>
      <c r="C343" s="352">
        <f>C328-C340</f>
        <v>416480</v>
      </c>
      <c r="D343" s="352">
        <f>D328-D340</f>
        <v>51558.5</v>
      </c>
      <c r="E343" s="352">
        <f>E328-E340</f>
        <v>468038.5</v>
      </c>
    </row>
    <row r="344" spans="2:10" ht="17.25" customHeight="1" thickTop="1" x14ac:dyDescent="0.3">
      <c r="C344" s="383"/>
      <c r="D344" s="383"/>
      <c r="E344" s="383"/>
    </row>
    <row r="345" spans="2:10" ht="17.25" customHeight="1" thickBot="1" x14ac:dyDescent="0.35">
      <c r="C345" s="383"/>
      <c r="D345" s="383"/>
      <c r="E345" s="383"/>
    </row>
    <row r="346" spans="2:10" ht="24" customHeight="1" thickTop="1" thickBot="1" x14ac:dyDescent="0.35">
      <c r="B346" s="558" t="s">
        <v>172</v>
      </c>
      <c r="C346" s="559"/>
      <c r="D346" s="559"/>
      <c r="E346" s="560"/>
    </row>
    <row r="347" spans="2:10" ht="24" customHeight="1" thickTop="1" thickBot="1" x14ac:dyDescent="0.35">
      <c r="B347" s="455" t="s">
        <v>181</v>
      </c>
      <c r="C347" s="456" t="s">
        <v>30</v>
      </c>
      <c r="D347" s="456" t="s">
        <v>31</v>
      </c>
      <c r="E347" s="456" t="s">
        <v>32</v>
      </c>
    </row>
    <row r="348" spans="2:10" ht="24" customHeight="1" thickTop="1" thickBot="1" x14ac:dyDescent="0.35">
      <c r="B348" s="347" t="str">
        <f>'ŞİRKET ARAÇ'!C147</f>
        <v>54 S 0856</v>
      </c>
      <c r="C348" s="399">
        <f>'ŞİRKET ARAÇ'!G147</f>
        <v>63650</v>
      </c>
      <c r="D348" s="399">
        <f>C348*0.1</f>
        <v>6365</v>
      </c>
      <c r="E348" s="399">
        <f>SUM(C348:D348)</f>
        <v>70015</v>
      </c>
    </row>
    <row r="349" spans="2:10" ht="24" customHeight="1" thickTop="1" thickBot="1" x14ac:dyDescent="0.35">
      <c r="B349" s="349" t="str">
        <f>'ŞİRKET ARAÇ'!C153</f>
        <v>54 S 0567</v>
      </c>
      <c r="C349" s="350">
        <f>'ŞİRKET ARAÇ'!G153</f>
        <v>72450</v>
      </c>
      <c r="D349" s="399">
        <f t="shared" ref="D349:D351" si="25">C349*0.1</f>
        <v>7245</v>
      </c>
      <c r="E349" s="399">
        <f t="shared" ref="E349:E351" si="26">SUM(C349:D349)</f>
        <v>79695</v>
      </c>
    </row>
    <row r="350" spans="2:10" ht="24" customHeight="1" thickTop="1" thickBot="1" x14ac:dyDescent="0.35">
      <c r="B350" s="349" t="str">
        <f>'ŞİRKET ARAÇ'!C154</f>
        <v>54 S 0860</v>
      </c>
      <c r="C350" s="350">
        <f>'ŞİRKET ARAÇ'!G154+'ŞİRKET ARAÇ'!G155</f>
        <v>69375</v>
      </c>
      <c r="D350" s="399">
        <f t="shared" si="25"/>
        <v>6937.5</v>
      </c>
      <c r="E350" s="399">
        <f t="shared" si="26"/>
        <v>76312.5</v>
      </c>
    </row>
    <row r="351" spans="2:10" ht="24" customHeight="1" thickTop="1" thickBot="1" x14ac:dyDescent="0.35">
      <c r="B351" s="349" t="str">
        <f>'ŞİRKET ARAÇ'!C156</f>
        <v>54 S 0569</v>
      </c>
      <c r="C351" s="350">
        <f>'ŞİRKET ARAÇ'!G156</f>
        <v>108150</v>
      </c>
      <c r="D351" s="399">
        <f t="shared" si="25"/>
        <v>10815</v>
      </c>
      <c r="E351" s="399">
        <f t="shared" si="26"/>
        <v>118965</v>
      </c>
    </row>
    <row r="352" spans="2:10" ht="24" customHeight="1" thickTop="1" thickBot="1" x14ac:dyDescent="0.35">
      <c r="B352" s="432" t="s">
        <v>3</v>
      </c>
      <c r="C352" s="433">
        <f>SUM(C348:C351)</f>
        <v>313625</v>
      </c>
      <c r="D352" s="433">
        <f>SUM(D348:D351)</f>
        <v>31362.5</v>
      </c>
      <c r="E352" s="433">
        <f>SUM(E348:E351)</f>
        <v>344987.5</v>
      </c>
    </row>
    <row r="353" spans="2:10" ht="17.399999999999999" thickTop="1" x14ac:dyDescent="0.3">
      <c r="C353" s="353"/>
      <c r="D353" s="353"/>
      <c r="E353" s="353"/>
    </row>
    <row r="354" spans="2:10" x14ac:dyDescent="0.3">
      <c r="C354" s="339"/>
      <c r="D354" s="339"/>
    </row>
    <row r="355" spans="2:10" ht="24" customHeight="1" thickBot="1" x14ac:dyDescent="0.35">
      <c r="B355" s="355" t="s">
        <v>178</v>
      </c>
      <c r="C355" s="356" t="s">
        <v>175</v>
      </c>
      <c r="D355" s="356" t="s">
        <v>176</v>
      </c>
      <c r="E355" s="356" t="s">
        <v>177</v>
      </c>
    </row>
    <row r="356" spans="2:10" ht="18.75" customHeight="1" thickTop="1" thickBot="1" x14ac:dyDescent="0.35">
      <c r="B356" s="351" t="s">
        <v>172</v>
      </c>
      <c r="C356" s="352">
        <f>C352</f>
        <v>313625</v>
      </c>
      <c r="D356" s="352">
        <f>D352</f>
        <v>31362.5</v>
      </c>
      <c r="E356" s="352">
        <f>SUM(C356:D356)</f>
        <v>344987.5</v>
      </c>
    </row>
    <row r="357" spans="2:10" s="326" customFormat="1" ht="18.75" customHeight="1" thickTop="1" thickBot="1" x14ac:dyDescent="0.35">
      <c r="B357" s="351"/>
      <c r="C357" s="352"/>
      <c r="D357" s="352"/>
      <c r="E357" s="352"/>
      <c r="H357" s="357"/>
      <c r="I357" s="357"/>
      <c r="J357" s="357"/>
    </row>
    <row r="358" spans="2:10" s="326" customFormat="1" ht="18.75" customHeight="1" thickTop="1" thickBot="1" x14ac:dyDescent="0.35">
      <c r="B358" s="351" t="s">
        <v>173</v>
      </c>
      <c r="C358" s="352">
        <f>C328-C340-C352</f>
        <v>102855</v>
      </c>
      <c r="D358" s="352">
        <f>D328-D340-D352</f>
        <v>20196</v>
      </c>
      <c r="E358" s="352">
        <f>E328-E340-E352</f>
        <v>123051</v>
      </c>
      <c r="H358" s="357"/>
      <c r="I358" s="357"/>
      <c r="J358" s="357"/>
    </row>
    <row r="359" spans="2:10" s="326" customFormat="1" ht="18" thickTop="1" thickBot="1" x14ac:dyDescent="0.35">
      <c r="B359" s="372"/>
      <c r="C359" s="373"/>
      <c r="D359" s="373"/>
      <c r="E359" s="373"/>
      <c r="H359" s="357"/>
      <c r="I359" s="357"/>
      <c r="J359" s="357"/>
    </row>
    <row r="360" spans="2:10" ht="27" customHeight="1" thickTop="1" thickBot="1" x14ac:dyDescent="0.35">
      <c r="B360" s="457" t="s">
        <v>174</v>
      </c>
      <c r="C360" s="457">
        <f>SUM(C356:C358)</f>
        <v>416480</v>
      </c>
      <c r="D360" s="457">
        <f t="shared" ref="D360:E360" si="27">SUM(D356:D358)</f>
        <v>51558.5</v>
      </c>
      <c r="E360" s="457">
        <f t="shared" si="27"/>
        <v>468038.5</v>
      </c>
    </row>
    <row r="361" spans="2:10" ht="17.399999999999999" thickTop="1" x14ac:dyDescent="0.3">
      <c r="C361" s="383"/>
      <c r="D361" s="383"/>
      <c r="E361" s="383"/>
    </row>
    <row r="362" spans="2:10" ht="17.399999999999999" thickBot="1" x14ac:dyDescent="0.35"/>
    <row r="363" spans="2:10" s="326" customFormat="1" ht="24" customHeight="1" thickTop="1" thickBot="1" x14ac:dyDescent="0.35">
      <c r="B363" s="359" t="s">
        <v>152</v>
      </c>
      <c r="C363" s="360" t="s">
        <v>30</v>
      </c>
      <c r="D363" s="360" t="s">
        <v>31</v>
      </c>
      <c r="E363" s="360" t="s">
        <v>32</v>
      </c>
      <c r="H363" s="357"/>
      <c r="I363" s="357"/>
      <c r="J363" s="357"/>
    </row>
    <row r="364" spans="2:10" ht="24" customHeight="1" thickTop="1" thickBot="1" x14ac:dyDescent="0.35">
      <c r="B364" s="361" t="s">
        <v>573</v>
      </c>
      <c r="C364" s="360">
        <f>[4]HAZİRAN!$C$41+[4]HAZİRAN!$C$42+[4]HAZİRAN!$C$43+[4]HAZİRAN!$C$44</f>
        <v>792005</v>
      </c>
      <c r="D364" s="360">
        <f>[4]HAZİRAN!$D$41+[4]HAZİRAN!$D$42+[4]HAZİRAN!$D$43+[4]HAZİRAN!$D$44</f>
        <v>142438.5</v>
      </c>
      <c r="E364" s="360">
        <f>SUM(C364:D364)</f>
        <v>934443.5</v>
      </c>
    </row>
    <row r="365" spans="2:10" ht="24" customHeight="1" thickTop="1" thickBot="1" x14ac:dyDescent="0.35">
      <c r="B365" s="458"/>
      <c r="C365" s="459"/>
      <c r="D365" s="459"/>
      <c r="E365" s="460"/>
    </row>
    <row r="366" spans="2:10" ht="27.6" customHeight="1" thickTop="1" thickBot="1" x14ac:dyDescent="0.35">
      <c r="B366" s="546" t="s">
        <v>171</v>
      </c>
      <c r="C366" s="547"/>
      <c r="D366" s="547"/>
      <c r="E366" s="548"/>
    </row>
    <row r="367" spans="2:10" ht="24" customHeight="1" thickTop="1" thickBot="1" x14ac:dyDescent="0.35">
      <c r="B367" s="334" t="str">
        <f>'YÜKLENİCİ ARAÇLARI'!C305</f>
        <v>MEHMET ANLAŞ</v>
      </c>
      <c r="C367" s="364">
        <f>'YÜKLENİCİ ARAÇLARI'!H305+'YÜKLENİCİ ARAÇLARI'!H306</f>
        <v>126300</v>
      </c>
      <c r="D367" s="364">
        <f>'YÜKLENİCİ ARAÇLARI'!I305+'YÜKLENİCİ ARAÇLARI'!I306</f>
        <v>25260</v>
      </c>
      <c r="E367" s="364">
        <f>'YÜKLENİCİ ARAÇLARI'!J305+'YÜKLENİCİ ARAÇLARI'!J306</f>
        <v>151560</v>
      </c>
    </row>
    <row r="368" spans="2:10" ht="24" customHeight="1" thickTop="1" thickBot="1" x14ac:dyDescent="0.35">
      <c r="B368" s="334" t="str">
        <f>'YÜKLENİCİ ARAÇLARI'!C309</f>
        <v>RAMİS  HAKAN GÜMÜŞ</v>
      </c>
      <c r="C368" s="364">
        <f>'YÜKLENİCİ ARAÇLARI'!H309+'YÜKLENİCİ ARAÇLARI'!H310+'YÜKLENİCİ ARAÇLARI'!H307+'YÜKLENİCİ ARAÇLARI'!H308</f>
        <v>118840</v>
      </c>
      <c r="D368" s="364">
        <f>'YÜKLENİCİ ARAÇLARI'!I309+'YÜKLENİCİ ARAÇLARI'!I310+'YÜKLENİCİ ARAÇLARI'!I307+'YÜKLENİCİ ARAÇLARI'!I308</f>
        <v>23768</v>
      </c>
      <c r="E368" s="364">
        <f>'YÜKLENİCİ ARAÇLARI'!J309+'YÜKLENİCİ ARAÇLARI'!J310+'YÜKLENİCİ ARAÇLARI'!J307+'YÜKLENİCİ ARAÇLARI'!J308</f>
        <v>142608</v>
      </c>
    </row>
    <row r="369" spans="2:10" ht="24" customHeight="1" thickTop="1" thickBot="1" x14ac:dyDescent="0.35">
      <c r="B369" s="334" t="str">
        <f>'YÜKLENİCİ ARAÇLARI'!C311</f>
        <v>HASAN KAPDAN</v>
      </c>
      <c r="C369" s="364">
        <f>'YÜKLENİCİ ARAÇLARI'!H311+'YÜKLENİCİ ARAÇLARI'!H312</f>
        <v>104435</v>
      </c>
      <c r="D369" s="364">
        <f>'YÜKLENİCİ ARAÇLARI'!I311+'YÜKLENİCİ ARAÇLARI'!I312</f>
        <v>20887</v>
      </c>
      <c r="E369" s="364">
        <f>'YÜKLENİCİ ARAÇLARI'!J311+'YÜKLENİCİ ARAÇLARI'!J312</f>
        <v>125322</v>
      </c>
    </row>
    <row r="370" spans="2:10" ht="24" customHeight="1" thickTop="1" thickBot="1" x14ac:dyDescent="0.35">
      <c r="B370" s="351" t="s">
        <v>3</v>
      </c>
      <c r="C370" s="367">
        <f>SUM(C367:C369)</f>
        <v>349575</v>
      </c>
      <c r="D370" s="367">
        <f>SUM(D367:D369)</f>
        <v>69915</v>
      </c>
      <c r="E370" s="367">
        <f>SUM(E367:E369)</f>
        <v>419490</v>
      </c>
    </row>
    <row r="371" spans="2:10" ht="17.399999999999999" thickTop="1" x14ac:dyDescent="0.3">
      <c r="C371" s="383"/>
      <c r="D371" s="383"/>
      <c r="E371" s="383"/>
    </row>
    <row r="372" spans="2:10" s="326" customFormat="1" ht="22.2" customHeight="1" thickBot="1" x14ac:dyDescent="0.35">
      <c r="B372" s="461"/>
      <c r="C372" s="461" t="s">
        <v>30</v>
      </c>
      <c r="D372" s="461" t="s">
        <v>31</v>
      </c>
      <c r="E372" s="461" t="s">
        <v>3</v>
      </c>
      <c r="H372" s="357"/>
      <c r="I372" s="357"/>
      <c r="J372" s="357"/>
    </row>
    <row r="373" spans="2:10" ht="27" customHeight="1" thickTop="1" thickBot="1" x14ac:dyDescent="0.35">
      <c r="B373" s="351" t="s">
        <v>208</v>
      </c>
      <c r="C373" s="352">
        <f>C364-C370</f>
        <v>442430</v>
      </c>
      <c r="D373" s="352">
        <f>D364-D370</f>
        <v>72523.5</v>
      </c>
      <c r="E373" s="352">
        <f>E364-E370</f>
        <v>514953.5</v>
      </c>
    </row>
    <row r="374" spans="2:10" ht="17.25" customHeight="1" thickTop="1" x14ac:dyDescent="0.3">
      <c r="C374" s="383"/>
      <c r="D374" s="383"/>
      <c r="E374" s="383"/>
    </row>
    <row r="375" spans="2:10" ht="17.399999999999999" thickBot="1" x14ac:dyDescent="0.35">
      <c r="C375" s="383"/>
      <c r="D375" s="383"/>
      <c r="E375" s="383"/>
    </row>
    <row r="376" spans="2:10" ht="24" customHeight="1" thickTop="1" thickBot="1" x14ac:dyDescent="0.35">
      <c r="B376" s="345" t="s">
        <v>181</v>
      </c>
      <c r="C376" s="346" t="s">
        <v>30</v>
      </c>
      <c r="D376" s="346" t="s">
        <v>31</v>
      </c>
      <c r="E376" s="346" t="s">
        <v>32</v>
      </c>
    </row>
    <row r="377" spans="2:10" ht="24" customHeight="1" thickTop="1" thickBot="1" x14ac:dyDescent="0.35">
      <c r="B377" s="347" t="str">
        <f>'ŞİRKET ARAÇ'!C136</f>
        <v>54 S 0570</v>
      </c>
      <c r="C377" s="399">
        <f>'ŞİRKET ARAÇ'!G136+'ŞİRKET ARAÇ'!G137+'ŞİRKET ARAÇ'!G138</f>
        <v>196560</v>
      </c>
      <c r="D377" s="399">
        <f>'ŞİRKET ARAÇ'!J136+'ŞİRKET ARAÇ'!J138</f>
        <v>19656</v>
      </c>
      <c r="E377" s="399">
        <f>SUM(C377:D377)</f>
        <v>216216</v>
      </c>
    </row>
    <row r="378" spans="2:10" ht="24" customHeight="1" thickTop="1" thickBot="1" x14ac:dyDescent="0.35">
      <c r="B378" s="349" t="str">
        <f>'ŞİRKET ARAÇ'!C141</f>
        <v>54 S 3116</v>
      </c>
      <c r="C378" s="417">
        <f>'ŞİRKET ARAÇ'!G141+'ŞİRKET ARAÇ'!G142</f>
        <v>124100</v>
      </c>
      <c r="D378" s="417">
        <f>'ŞİRKET ARAÇ'!J141+'ŞİRKET ARAÇ'!J142</f>
        <v>12410</v>
      </c>
      <c r="E378" s="417">
        <f>SUM(C378:D378)</f>
        <v>136510</v>
      </c>
    </row>
    <row r="379" spans="2:10" ht="24" customHeight="1" thickTop="1" thickBot="1" x14ac:dyDescent="0.35">
      <c r="B379" s="432" t="s">
        <v>3</v>
      </c>
      <c r="C379" s="433">
        <f>SUM(C377:C378)</f>
        <v>320660</v>
      </c>
      <c r="D379" s="433">
        <f>SUM(D377:D378)</f>
        <v>32066</v>
      </c>
      <c r="E379" s="433">
        <f>SUM(E377:E378)</f>
        <v>352726</v>
      </c>
    </row>
    <row r="380" spans="2:10" ht="17.399999999999999" thickTop="1" x14ac:dyDescent="0.3">
      <c r="C380" s="353"/>
      <c r="D380" s="353"/>
      <c r="E380" s="353"/>
    </row>
    <row r="381" spans="2:10" x14ac:dyDescent="0.3">
      <c r="C381" s="339"/>
      <c r="D381" s="339"/>
    </row>
    <row r="382" spans="2:10" s="326" customFormat="1" ht="24" customHeight="1" thickBot="1" x14ac:dyDescent="0.35">
      <c r="B382" s="371" t="s">
        <v>178</v>
      </c>
      <c r="C382" s="342" t="s">
        <v>175</v>
      </c>
      <c r="D382" s="342" t="s">
        <v>176</v>
      </c>
      <c r="E382" s="342" t="s">
        <v>3</v>
      </c>
      <c r="H382" s="357"/>
      <c r="I382" s="357"/>
      <c r="J382" s="357"/>
    </row>
    <row r="383" spans="2:10" s="326" customFormat="1" ht="26.4" customHeight="1" thickTop="1" thickBot="1" x14ac:dyDescent="0.35">
      <c r="B383" s="351" t="s">
        <v>172</v>
      </c>
      <c r="C383" s="352">
        <f>C379</f>
        <v>320660</v>
      </c>
      <c r="D383" s="352">
        <f t="shared" ref="D383" si="28">D379</f>
        <v>32066</v>
      </c>
      <c r="E383" s="352">
        <f>SUM(C383:D383)</f>
        <v>352726</v>
      </c>
      <c r="H383" s="357"/>
      <c r="I383" s="357"/>
      <c r="J383" s="357"/>
    </row>
    <row r="384" spans="2:10" s="326" customFormat="1" ht="18.75" customHeight="1" thickTop="1" thickBot="1" x14ac:dyDescent="0.35">
      <c r="B384" s="462"/>
      <c r="C384" s="463"/>
      <c r="D384" s="463"/>
      <c r="E384" s="463"/>
      <c r="H384" s="357"/>
      <c r="I384" s="357"/>
      <c r="J384" s="357"/>
    </row>
    <row r="385" spans="2:8" ht="24" customHeight="1" thickTop="1" thickBot="1" x14ac:dyDescent="0.35">
      <c r="B385" s="351" t="s">
        <v>173</v>
      </c>
      <c r="C385" s="352">
        <f>C364-C379-C370</f>
        <v>121770</v>
      </c>
      <c r="D385" s="352">
        <f>D364-D379-D370</f>
        <v>40457.5</v>
      </c>
      <c r="E385" s="352">
        <f>E364-E379-E370</f>
        <v>162227.5</v>
      </c>
    </row>
    <row r="386" spans="2:8" ht="18.75" customHeight="1" thickTop="1" thickBot="1" x14ac:dyDescent="0.35">
      <c r="C386" s="353"/>
      <c r="D386" s="353"/>
      <c r="E386" s="353"/>
    </row>
    <row r="387" spans="2:8" ht="24.6" customHeight="1" thickTop="1" thickBot="1" x14ac:dyDescent="0.35">
      <c r="B387" s="428" t="s">
        <v>174</v>
      </c>
      <c r="C387" s="464">
        <f>SUM(C383:C385)</f>
        <v>442430</v>
      </c>
      <c r="D387" s="464">
        <f t="shared" ref="D387:E387" si="29">SUM(D383:D385)</f>
        <v>72523.5</v>
      </c>
      <c r="E387" s="464">
        <f t="shared" si="29"/>
        <v>514953.5</v>
      </c>
    </row>
    <row r="388" spans="2:8" ht="17.25" customHeight="1" thickTop="1" x14ac:dyDescent="0.3">
      <c r="C388" s="353"/>
      <c r="D388" s="353"/>
      <c r="E388" s="353"/>
    </row>
    <row r="389" spans="2:8" x14ac:dyDescent="0.3">
      <c r="C389" s="383"/>
      <c r="D389" s="383"/>
      <c r="E389" s="383"/>
    </row>
    <row r="390" spans="2:8" ht="18.75" customHeight="1" x14ac:dyDescent="0.3"/>
    <row r="391" spans="2:8" ht="18.75" customHeight="1" x14ac:dyDescent="0.3">
      <c r="C391" s="353"/>
      <c r="D391" s="353"/>
      <c r="E391" s="353"/>
    </row>
    <row r="392" spans="2:8" ht="17.399999999999999" thickBot="1" x14ac:dyDescent="0.35">
      <c r="C392" s="353"/>
      <c r="D392" s="353"/>
      <c r="E392" s="353"/>
    </row>
    <row r="393" spans="2:8" ht="18" thickTop="1" thickBot="1" x14ac:dyDescent="0.35">
      <c r="B393" s="397" t="s">
        <v>74</v>
      </c>
      <c r="C393" s="398" t="s">
        <v>30</v>
      </c>
      <c r="D393" s="398" t="s">
        <v>31</v>
      </c>
      <c r="E393" s="398" t="s">
        <v>32</v>
      </c>
    </row>
    <row r="394" spans="2:8" ht="18" thickTop="1" thickBot="1" x14ac:dyDescent="0.35">
      <c r="B394" s="361" t="s">
        <v>573</v>
      </c>
      <c r="C394" s="360">
        <v>188100</v>
      </c>
      <c r="D394" s="360">
        <f>C394*0.1</f>
        <v>18810</v>
      </c>
      <c r="E394" s="360">
        <f>SUM(C394:D394)</f>
        <v>206910</v>
      </c>
    </row>
    <row r="395" spans="2:8" ht="18" thickTop="1" thickBot="1" x14ac:dyDescent="0.35">
      <c r="B395" s="465"/>
      <c r="C395" s="466"/>
      <c r="D395" s="466"/>
      <c r="E395" s="466"/>
    </row>
    <row r="396" spans="2:8" ht="18" thickTop="1" thickBot="1" x14ac:dyDescent="0.35">
      <c r="B396" s="543" t="s">
        <v>181</v>
      </c>
      <c r="C396" s="544"/>
      <c r="D396" s="544"/>
      <c r="E396" s="545"/>
    </row>
    <row r="397" spans="2:8" ht="18" thickTop="1" thickBot="1" x14ac:dyDescent="0.35">
      <c r="B397" s="332" t="str">
        <f>'ŞİRKET ARAÇ'!C74</f>
        <v>54 S 2295</v>
      </c>
      <c r="C397" s="363">
        <f>'ŞİRKET ARAÇ'!G74</f>
        <v>94050</v>
      </c>
      <c r="D397" s="363">
        <f>'ŞİRKET ARAÇ'!J74</f>
        <v>9405</v>
      </c>
      <c r="E397" s="363">
        <f>C397+D397</f>
        <v>103455</v>
      </c>
    </row>
    <row r="398" spans="2:8" ht="17.25" customHeight="1" thickTop="1" thickBot="1" x14ac:dyDescent="0.35">
      <c r="B398" s="332" t="str">
        <f>'ŞİRKET ARAÇ'!C75</f>
        <v>54 S 0572</v>
      </c>
      <c r="C398" s="363">
        <f>'ŞİRKET ARAÇ'!G75</f>
        <v>94050</v>
      </c>
      <c r="D398" s="363">
        <f>'ŞİRKET ARAÇ'!J75</f>
        <v>9405</v>
      </c>
      <c r="E398" s="363">
        <f>C398+D398</f>
        <v>103455</v>
      </c>
    </row>
    <row r="399" spans="2:8" ht="18" thickTop="1" thickBot="1" x14ac:dyDescent="0.35">
      <c r="B399" s="334"/>
      <c r="C399" s="411">
        <f>SUM(C397:C398)</f>
        <v>188100</v>
      </c>
      <c r="D399" s="411">
        <f>SUM(D397:D398)</f>
        <v>18810</v>
      </c>
      <c r="E399" s="411">
        <f>SUM(E397:E398)</f>
        <v>206910</v>
      </c>
    </row>
    <row r="400" spans="2:8" ht="17.399999999999999" thickTop="1" x14ac:dyDescent="0.3">
      <c r="H400" s="365">
        <f>C394+C364+C328+C301+C283+C246+C223+C188+C157+C118+C95+C58+C2</f>
        <v>13275521.120000001</v>
      </c>
    </row>
  </sheetData>
  <mergeCells count="17">
    <mergeCell ref="B96:E96"/>
    <mergeCell ref="B396:E396"/>
    <mergeCell ref="B366:E366"/>
    <mergeCell ref="B4:E4"/>
    <mergeCell ref="B285:E285"/>
    <mergeCell ref="B303:E303"/>
    <mergeCell ref="B346:E346"/>
    <mergeCell ref="B59:E59"/>
    <mergeCell ref="B159:E159"/>
    <mergeCell ref="B190:E190"/>
    <mergeCell ref="B206:E206"/>
    <mergeCell ref="B225:E225"/>
    <mergeCell ref="B248:E248"/>
    <mergeCell ref="B262:E263"/>
    <mergeCell ref="B120:E120"/>
    <mergeCell ref="B138:E138"/>
    <mergeCell ref="B330:E330"/>
  </mergeCells>
  <pageMargins left="0.35433070866141736" right="0.23622047244094491" top="0.39370078740157483" bottom="0" header="0.31496062992125984" footer="0.31496062992125984"/>
  <pageSetup paperSize="9" scale="55" fitToHeight="0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94"/>
  <sheetViews>
    <sheetView workbookViewId="0">
      <pane ySplit="1" topLeftCell="A2" activePane="bottomLeft" state="frozen"/>
      <selection pane="bottomLeft" activeCell="A10" sqref="A10"/>
    </sheetView>
  </sheetViews>
  <sheetFormatPr defaultColWidth="9.109375" defaultRowHeight="16.8" x14ac:dyDescent="0.3"/>
  <cols>
    <col min="1" max="1" width="29.33203125" style="9" customWidth="1"/>
    <col min="2" max="2" width="14.109375" style="4" customWidth="1"/>
    <col min="3" max="3" width="18.6640625" style="9" customWidth="1"/>
    <col min="4" max="4" width="17.109375" style="9" customWidth="1"/>
    <col min="5" max="5" width="18.33203125" style="9" customWidth="1"/>
    <col min="6" max="6" width="19.44140625" style="9" customWidth="1"/>
    <col min="7" max="7" width="18" style="9" customWidth="1"/>
    <col min="8" max="8" width="19.44140625" style="9" customWidth="1"/>
    <col min="9" max="9" width="18.109375" style="9" customWidth="1"/>
    <col min="10" max="10" width="17.33203125" style="9" customWidth="1"/>
    <col min="11" max="11" width="18" style="9" customWidth="1"/>
    <col min="12" max="12" width="19.6640625" style="9" customWidth="1"/>
    <col min="13" max="13" width="22" style="9" customWidth="1"/>
    <col min="14" max="16384" width="9.109375" style="9"/>
  </cols>
  <sheetData>
    <row r="1" spans="1:12" ht="34.799999999999997" thickTop="1" thickBot="1" x14ac:dyDescent="0.35">
      <c r="A1" s="6" t="s">
        <v>202</v>
      </c>
      <c r="B1" s="6" t="s">
        <v>1</v>
      </c>
      <c r="C1" s="7" t="s">
        <v>191</v>
      </c>
      <c r="D1" s="8" t="s">
        <v>156</v>
      </c>
      <c r="E1" s="8" t="s">
        <v>192</v>
      </c>
      <c r="F1" s="8" t="s">
        <v>165</v>
      </c>
      <c r="G1" s="84" t="s">
        <v>193</v>
      </c>
      <c r="H1" s="8" t="s">
        <v>166</v>
      </c>
      <c r="I1" s="7" t="s">
        <v>194</v>
      </c>
      <c r="J1" s="7" t="str">
        <f>'ŞİRKET ARAÇ'!A159</f>
        <v>DBE FİRMA</v>
      </c>
      <c r="K1" s="7" t="s">
        <v>195</v>
      </c>
      <c r="L1" s="6"/>
    </row>
    <row r="2" spans="1:12" ht="18" thickTop="1" thickBot="1" x14ac:dyDescent="0.35">
      <c r="A2" s="10" t="s">
        <v>280</v>
      </c>
      <c r="B2" s="74" t="s">
        <v>68</v>
      </c>
      <c r="C2" s="70">
        <f>'ŞİRKET ARAÇ'!G129+'ŞİRKET ARAÇ'!G130</f>
        <v>108257.5</v>
      </c>
      <c r="D2" s="70"/>
      <c r="E2" s="70"/>
      <c r="F2" s="70"/>
      <c r="G2" s="71"/>
      <c r="H2" s="71"/>
      <c r="I2" s="70"/>
      <c r="J2" s="70"/>
      <c r="K2" s="70"/>
      <c r="L2" s="75">
        <f t="shared" ref="L2:L28" si="0">SUM(C2:K2)</f>
        <v>108257.5</v>
      </c>
    </row>
    <row r="3" spans="1:12" ht="18" thickTop="1" thickBot="1" x14ac:dyDescent="0.35">
      <c r="A3" s="10" t="s">
        <v>283</v>
      </c>
      <c r="B3" s="74" t="s">
        <v>70</v>
      </c>
      <c r="C3" s="70">
        <f>'ŞİRKET ARAÇ'!G126</f>
        <v>0</v>
      </c>
      <c r="D3" s="70"/>
      <c r="E3" s="70"/>
      <c r="F3" s="70"/>
      <c r="G3" s="71"/>
      <c r="H3" s="71"/>
      <c r="I3" s="70"/>
      <c r="J3" s="70"/>
      <c r="K3" s="70"/>
      <c r="L3" s="75">
        <f t="shared" si="0"/>
        <v>0</v>
      </c>
    </row>
    <row r="4" spans="1:12" ht="18" thickTop="1" thickBot="1" x14ac:dyDescent="0.35">
      <c r="A4" s="10" t="s">
        <v>556</v>
      </c>
      <c r="B4" s="74" t="s">
        <v>119</v>
      </c>
      <c r="C4" s="70"/>
      <c r="D4" s="70">
        <f>'ŞİRKET ARAÇ'!G147+'ŞİRKET ARAÇ'!G152</f>
        <v>63650</v>
      </c>
      <c r="E4" s="70"/>
      <c r="F4" s="70">
        <f>'ŞİRKET ARAÇ'!G81+'ŞİRKET ARAÇ'!G82</f>
        <v>31275</v>
      </c>
      <c r="G4" s="71"/>
      <c r="H4" s="71"/>
      <c r="I4" s="70"/>
      <c r="J4" s="70"/>
      <c r="K4" s="70"/>
      <c r="L4" s="75">
        <f t="shared" si="0"/>
        <v>94925</v>
      </c>
    </row>
    <row r="5" spans="1:12" ht="18" thickTop="1" thickBot="1" x14ac:dyDescent="0.35">
      <c r="A5" s="10" t="s">
        <v>553</v>
      </c>
      <c r="B5" s="74" t="s">
        <v>45</v>
      </c>
      <c r="C5" s="70"/>
      <c r="D5" s="70">
        <f>'ŞİRKET ARAÇ'!G153</f>
        <v>72450</v>
      </c>
      <c r="E5" s="70"/>
      <c r="F5" s="70"/>
      <c r="G5" s="71"/>
      <c r="H5" s="71"/>
      <c r="I5" s="70"/>
      <c r="J5" s="70"/>
      <c r="K5" s="70"/>
      <c r="L5" s="75">
        <f t="shared" si="0"/>
        <v>72450</v>
      </c>
    </row>
    <row r="6" spans="1:12" ht="18" thickTop="1" thickBot="1" x14ac:dyDescent="0.35">
      <c r="A6" s="10" t="s">
        <v>553</v>
      </c>
      <c r="B6" s="76" t="str">
        <f>'ŞİRKET ARAÇ'!C154</f>
        <v>54 S 0860</v>
      </c>
      <c r="C6" s="70"/>
      <c r="D6" s="70">
        <f>'ŞİRKET ARAÇ'!G154</f>
        <v>69375</v>
      </c>
      <c r="E6" s="70"/>
      <c r="F6" s="70"/>
      <c r="G6" s="71"/>
      <c r="H6" s="71"/>
      <c r="I6" s="70"/>
      <c r="J6" s="70"/>
      <c r="K6" s="70"/>
      <c r="L6" s="75">
        <f t="shared" si="0"/>
        <v>69375</v>
      </c>
    </row>
    <row r="7" spans="1:12" ht="18.600000000000001" thickTop="1" thickBot="1" x14ac:dyDescent="0.35">
      <c r="A7" s="10" t="s">
        <v>553</v>
      </c>
      <c r="B7" s="74" t="s">
        <v>72</v>
      </c>
      <c r="C7" s="70"/>
      <c r="D7" s="70">
        <f>'ŞİRKET ARAÇ'!G156</f>
        <v>108150</v>
      </c>
      <c r="E7" s="70"/>
      <c r="F7" s="70"/>
      <c r="G7" s="511"/>
      <c r="H7" s="71"/>
      <c r="I7" s="70"/>
      <c r="J7" s="70"/>
      <c r="K7" s="70"/>
      <c r="L7" s="75">
        <f t="shared" si="0"/>
        <v>108150</v>
      </c>
    </row>
    <row r="8" spans="1:12" ht="18" thickTop="1" thickBot="1" x14ac:dyDescent="0.35">
      <c r="A8" s="10" t="s">
        <v>282</v>
      </c>
      <c r="B8" s="74" t="s">
        <v>242</v>
      </c>
      <c r="C8" s="70"/>
      <c r="D8" s="70"/>
      <c r="E8" s="70">
        <f>'ŞİRKET ARAÇ'!G141+'ŞİRKET ARAÇ'!G142</f>
        <v>124100</v>
      </c>
      <c r="F8" s="70"/>
      <c r="G8" s="71">
        <f>'ŞİRKET ARAÇ'!G30</f>
        <v>0</v>
      </c>
      <c r="H8" s="71"/>
      <c r="I8" s="70"/>
      <c r="J8" s="70"/>
      <c r="K8" s="70"/>
      <c r="L8" s="75">
        <f t="shared" si="0"/>
        <v>124100</v>
      </c>
    </row>
    <row r="9" spans="1:12" ht="18" thickTop="1" thickBot="1" x14ac:dyDescent="0.35">
      <c r="A9" s="10" t="s">
        <v>602</v>
      </c>
      <c r="B9" s="74" t="s">
        <v>161</v>
      </c>
      <c r="C9" s="70"/>
      <c r="D9" s="70"/>
      <c r="E9" s="70">
        <f>'ŞİRKET ARAÇ'!G136+'ŞİRKET ARAÇ'!G138</f>
        <v>196560</v>
      </c>
      <c r="F9" s="70"/>
      <c r="G9" s="71"/>
      <c r="H9" s="71"/>
      <c r="I9" s="70"/>
      <c r="J9" s="70"/>
      <c r="K9" s="70"/>
      <c r="L9" s="75">
        <f t="shared" si="0"/>
        <v>196560</v>
      </c>
    </row>
    <row r="10" spans="1:12" ht="18" thickTop="1" thickBot="1" x14ac:dyDescent="0.35">
      <c r="A10" s="10" t="str">
        <f>'ŞİRKET ARAÇ'!A78</f>
        <v>DDDD</v>
      </c>
      <c r="B10" s="74" t="s">
        <v>67</v>
      </c>
      <c r="C10" s="70"/>
      <c r="D10" s="70"/>
      <c r="E10" s="70"/>
      <c r="F10" s="70">
        <f>'ŞİRKET ARAÇ'!G79+'ŞİRKET ARAÇ'!G80</f>
        <v>68600</v>
      </c>
      <c r="G10" s="71"/>
      <c r="H10" s="71"/>
      <c r="I10" s="70"/>
      <c r="J10" s="70"/>
      <c r="K10" s="70"/>
      <c r="L10" s="75">
        <f t="shared" si="0"/>
        <v>68600</v>
      </c>
    </row>
    <row r="11" spans="1:12" ht="18" thickTop="1" thickBot="1" x14ac:dyDescent="0.35">
      <c r="A11" s="10" t="s">
        <v>601</v>
      </c>
      <c r="B11" s="74" t="s">
        <v>73</v>
      </c>
      <c r="C11" s="70">
        <f>'ŞİRKET ARAÇ'!G127</f>
        <v>75000</v>
      </c>
      <c r="D11" s="70"/>
      <c r="E11" s="70"/>
      <c r="F11" s="70"/>
      <c r="G11" s="71"/>
      <c r="H11" s="71"/>
      <c r="I11" s="70"/>
      <c r="J11" s="70"/>
      <c r="K11" s="70"/>
      <c r="L11" s="75">
        <f t="shared" si="0"/>
        <v>75000</v>
      </c>
    </row>
    <row r="12" spans="1:12" ht="18" thickTop="1" thickBot="1" x14ac:dyDescent="0.35">
      <c r="A12" s="10" t="s">
        <v>165</v>
      </c>
      <c r="B12" s="74" t="s">
        <v>118</v>
      </c>
      <c r="C12" s="70"/>
      <c r="D12" s="70"/>
      <c r="E12" s="70"/>
      <c r="F12" s="70">
        <f>'ŞİRKET ARAÇ'!G89+'ŞİRKET ARAÇ'!G90</f>
        <v>53600</v>
      </c>
      <c r="G12" s="71"/>
      <c r="H12" s="71"/>
      <c r="I12" s="70"/>
      <c r="J12" s="70"/>
      <c r="K12" s="70"/>
      <c r="L12" s="75">
        <f t="shared" si="0"/>
        <v>53600</v>
      </c>
    </row>
    <row r="13" spans="1:12" ht="18" thickTop="1" thickBot="1" x14ac:dyDescent="0.35">
      <c r="A13" s="10" t="s">
        <v>281</v>
      </c>
      <c r="B13" s="74" t="s">
        <v>39</v>
      </c>
      <c r="C13" s="70"/>
      <c r="D13" s="70"/>
      <c r="E13" s="70"/>
      <c r="F13" s="70"/>
      <c r="G13" s="71"/>
      <c r="H13" s="71"/>
      <c r="I13" s="70"/>
      <c r="J13" s="70"/>
      <c r="K13" s="70"/>
      <c r="L13" s="75">
        <f t="shared" si="0"/>
        <v>0</v>
      </c>
    </row>
    <row r="14" spans="1:12" ht="18" thickTop="1" thickBot="1" x14ac:dyDescent="0.35">
      <c r="A14" s="10" t="s">
        <v>284</v>
      </c>
      <c r="B14" s="74" t="s">
        <v>95</v>
      </c>
      <c r="C14" s="70"/>
      <c r="D14" s="70"/>
      <c r="E14" s="70"/>
      <c r="F14" s="70">
        <f>'ŞİRKET ARAÇ'!G83+'ŞİRKET ARAÇ'!G84+'ŞİRKET ARAÇ'!G85+'ŞİRKET ARAÇ'!G86</f>
        <v>97880</v>
      </c>
      <c r="G14" s="71"/>
      <c r="H14" s="71"/>
      <c r="I14" s="70"/>
      <c r="J14" s="70"/>
      <c r="K14" s="70"/>
      <c r="L14" s="75">
        <f t="shared" si="0"/>
        <v>97880</v>
      </c>
    </row>
    <row r="15" spans="1:12" ht="18" thickTop="1" thickBot="1" x14ac:dyDescent="0.35">
      <c r="A15" s="10" t="s">
        <v>200</v>
      </c>
      <c r="B15" s="74" t="s">
        <v>162</v>
      </c>
      <c r="C15" s="70"/>
      <c r="D15" s="70"/>
      <c r="E15" s="70"/>
      <c r="F15" s="70"/>
      <c r="G15" s="71">
        <f>'ŞİRKET ARAÇ'!G33</f>
        <v>46811.25</v>
      </c>
      <c r="H15" s="71">
        <f>'ŞİRKET ARAÇ'!G10</f>
        <v>48750</v>
      </c>
      <c r="I15" s="70"/>
      <c r="J15" s="70"/>
      <c r="K15" s="70"/>
      <c r="L15" s="75">
        <f t="shared" si="0"/>
        <v>95561.25</v>
      </c>
    </row>
    <row r="16" spans="1:12" ht="18.75" customHeight="1" thickTop="1" thickBot="1" x14ac:dyDescent="0.35">
      <c r="A16" s="10" t="s">
        <v>200</v>
      </c>
      <c r="B16" s="74" t="s">
        <v>34</v>
      </c>
      <c r="C16" s="70"/>
      <c r="D16" s="70"/>
      <c r="E16" s="70"/>
      <c r="F16" s="70"/>
      <c r="G16" s="71">
        <f>'ŞİRKET ARAÇ'!G24</f>
        <v>95000</v>
      </c>
      <c r="H16" s="71">
        <f>'ŞİRKET ARAÇ'!G2</f>
        <v>52500</v>
      </c>
      <c r="I16" s="70"/>
      <c r="J16" s="70"/>
      <c r="K16" s="70"/>
      <c r="L16" s="75">
        <f t="shared" si="0"/>
        <v>147500</v>
      </c>
    </row>
    <row r="17" spans="1:13" ht="18" thickTop="1" thickBot="1" x14ac:dyDescent="0.35">
      <c r="A17" s="10" t="s">
        <v>200</v>
      </c>
      <c r="B17" s="74" t="s">
        <v>43</v>
      </c>
      <c r="C17" s="70"/>
      <c r="D17" s="70"/>
      <c r="E17" s="70"/>
      <c r="F17" s="70"/>
      <c r="G17" s="71">
        <f>'ŞİRKET ARAÇ'!G26</f>
        <v>15603.75</v>
      </c>
      <c r="H17" s="71">
        <f>'ŞİRKET ARAÇ'!G9</f>
        <v>66300</v>
      </c>
      <c r="I17" s="70"/>
      <c r="J17" s="70"/>
      <c r="K17" s="70"/>
      <c r="L17" s="75">
        <f t="shared" si="0"/>
        <v>81903.75</v>
      </c>
    </row>
    <row r="18" spans="1:13" ht="18" thickTop="1" thickBot="1" x14ac:dyDescent="0.35">
      <c r="A18" s="10" t="s">
        <v>200</v>
      </c>
      <c r="B18" s="74" t="s">
        <v>41</v>
      </c>
      <c r="C18" s="70"/>
      <c r="D18" s="70"/>
      <c r="E18" s="70"/>
      <c r="F18" s="70"/>
      <c r="G18" s="71">
        <f>'ŞİRKET ARAÇ'!G27</f>
        <v>15603.75</v>
      </c>
      <c r="H18" s="71">
        <f>'ŞİRKET ARAÇ'!G7</f>
        <v>71400</v>
      </c>
      <c r="I18" s="70"/>
      <c r="J18" s="70"/>
      <c r="K18" s="70"/>
      <c r="L18" s="75">
        <f t="shared" si="0"/>
        <v>87003.75</v>
      </c>
    </row>
    <row r="19" spans="1:13" ht="18" thickTop="1" thickBot="1" x14ac:dyDescent="0.35">
      <c r="A19" s="10" t="s">
        <v>200</v>
      </c>
      <c r="B19" s="74" t="s">
        <v>36</v>
      </c>
      <c r="C19" s="70"/>
      <c r="D19" s="70"/>
      <c r="E19" s="70"/>
      <c r="F19" s="70"/>
      <c r="G19" s="71">
        <f>'ŞİRKET ARAÇ'!G32</f>
        <v>15603.75</v>
      </c>
      <c r="H19" s="71">
        <f>'ŞİRKET ARAÇ'!G4</f>
        <v>91800</v>
      </c>
      <c r="I19" s="70"/>
      <c r="J19" s="70"/>
      <c r="K19" s="70"/>
      <c r="L19" s="75">
        <f t="shared" si="0"/>
        <v>107403.75</v>
      </c>
    </row>
    <row r="20" spans="1:13" ht="18" thickTop="1" thickBot="1" x14ac:dyDescent="0.35">
      <c r="A20" s="10" t="s">
        <v>200</v>
      </c>
      <c r="B20" s="76" t="s">
        <v>233</v>
      </c>
      <c r="C20" s="70"/>
      <c r="D20" s="70"/>
      <c r="E20" s="70"/>
      <c r="F20" s="70"/>
      <c r="G20" s="71">
        <f>'ŞİRKET ARAÇ'!G29</f>
        <v>31207.5</v>
      </c>
      <c r="H20" s="71">
        <f>'ŞİRKET ARAÇ'!G14</f>
        <v>49400</v>
      </c>
      <c r="I20" s="70"/>
      <c r="J20" s="70"/>
      <c r="K20" s="70"/>
      <c r="L20" s="75">
        <f t="shared" si="0"/>
        <v>80607.5</v>
      </c>
    </row>
    <row r="21" spans="1:13" ht="18" thickTop="1" thickBot="1" x14ac:dyDescent="0.35">
      <c r="A21" s="10" t="s">
        <v>200</v>
      </c>
      <c r="B21" s="76" t="s">
        <v>267</v>
      </c>
      <c r="C21" s="70"/>
      <c r="D21" s="70"/>
      <c r="E21" s="70"/>
      <c r="F21" s="70"/>
      <c r="G21" s="71">
        <f>'ŞİRKET ARAÇ'!G31</f>
        <v>46811.25</v>
      </c>
      <c r="H21" s="71">
        <f>'ŞİRKET ARAÇ'!G3</f>
        <v>52500</v>
      </c>
      <c r="I21" s="70"/>
      <c r="J21" s="70"/>
      <c r="K21" s="70"/>
      <c r="L21" s="75">
        <f t="shared" si="0"/>
        <v>99311.25</v>
      </c>
    </row>
    <row r="22" spans="1:13" ht="18" thickTop="1" thickBot="1" x14ac:dyDescent="0.35">
      <c r="A22" s="10" t="s">
        <v>201</v>
      </c>
      <c r="B22" s="76" t="s">
        <v>250</v>
      </c>
      <c r="C22" s="70"/>
      <c r="D22" s="70"/>
      <c r="E22" s="70"/>
      <c r="F22" s="70"/>
      <c r="G22" s="71">
        <f>'ŞİRKET ARAÇ'!G35</f>
        <v>15603.75</v>
      </c>
      <c r="H22" s="71"/>
      <c r="I22" s="70">
        <f>'ŞİRKET ARAÇ'!G74</f>
        <v>94050</v>
      </c>
      <c r="J22" s="70"/>
      <c r="K22" s="70"/>
      <c r="L22" s="75">
        <f t="shared" si="0"/>
        <v>109653.75</v>
      </c>
    </row>
    <row r="23" spans="1:13" ht="18" thickTop="1" thickBot="1" x14ac:dyDescent="0.35">
      <c r="A23" s="10" t="s">
        <v>201</v>
      </c>
      <c r="B23" s="74" t="s">
        <v>71</v>
      </c>
      <c r="C23" s="70"/>
      <c r="D23" s="70"/>
      <c r="E23" s="70"/>
      <c r="F23" s="70"/>
      <c r="G23" s="71">
        <f>'ŞİRKET ARAÇ'!G34</f>
        <v>15603.75</v>
      </c>
      <c r="H23" s="71"/>
      <c r="I23" s="70">
        <f>'ŞİRKET ARAÇ'!G75</f>
        <v>94050</v>
      </c>
      <c r="J23" s="70"/>
      <c r="K23" s="70"/>
      <c r="L23" s="75">
        <f t="shared" si="0"/>
        <v>109653.75</v>
      </c>
    </row>
    <row r="24" spans="1:13" ht="18" thickTop="1" thickBot="1" x14ac:dyDescent="0.35">
      <c r="A24" s="10" t="s">
        <v>227</v>
      </c>
      <c r="B24" s="74" t="s">
        <v>117</v>
      </c>
      <c r="C24" s="70"/>
      <c r="D24" s="70"/>
      <c r="E24" s="70"/>
      <c r="F24" s="70"/>
      <c r="G24" s="71"/>
      <c r="H24" s="71"/>
      <c r="I24" s="70"/>
      <c r="J24" s="70">
        <f>'ŞİRKET ARAÇ'!G162</f>
        <v>96600</v>
      </c>
      <c r="K24" s="70"/>
      <c r="L24" s="75">
        <f t="shared" si="0"/>
        <v>96600</v>
      </c>
    </row>
    <row r="25" spans="1:13" s="83" customFormat="1" ht="18" thickTop="1" thickBot="1" x14ac:dyDescent="0.35">
      <c r="A25" s="81" t="str">
        <f>'ŞİRKET ARAÇ'!A159</f>
        <v>DBE FİRMA</v>
      </c>
      <c r="B25" s="82" t="s">
        <v>146</v>
      </c>
      <c r="C25" s="71"/>
      <c r="D25" s="71"/>
      <c r="E25" s="71"/>
      <c r="F25" s="71"/>
      <c r="G25" s="71"/>
      <c r="H25" s="71"/>
      <c r="I25" s="71"/>
      <c r="J25" s="71">
        <f>'ŞİRKET ARAÇ'!G160</f>
        <v>109200</v>
      </c>
      <c r="K25" s="71"/>
      <c r="L25" s="75">
        <f t="shared" si="0"/>
        <v>109200</v>
      </c>
    </row>
    <row r="26" spans="1:13" ht="18" thickTop="1" thickBot="1" x14ac:dyDescent="0.35">
      <c r="A26" s="10" t="s">
        <v>116</v>
      </c>
      <c r="B26" s="74" t="s">
        <v>101</v>
      </c>
      <c r="C26" s="70"/>
      <c r="D26" s="70"/>
      <c r="E26" s="70"/>
      <c r="F26" s="70"/>
      <c r="G26" s="71"/>
      <c r="H26" s="71"/>
      <c r="I26" s="70"/>
      <c r="J26" s="70"/>
      <c r="K26" s="70">
        <f>'ŞİRKET ARAÇ'!G99</f>
        <v>70350</v>
      </c>
      <c r="L26" s="75">
        <f t="shared" si="0"/>
        <v>70350</v>
      </c>
    </row>
    <row r="27" spans="1:13" ht="18" thickTop="1" thickBot="1" x14ac:dyDescent="0.35">
      <c r="A27" s="10" t="s">
        <v>600</v>
      </c>
      <c r="B27" s="76" t="str">
        <f>'ŞİRKET ARAÇ'!C96</f>
        <v>54 S 0560</v>
      </c>
      <c r="C27" s="70"/>
      <c r="D27" s="70"/>
      <c r="E27" s="70"/>
      <c r="F27" s="70"/>
      <c r="G27" s="71"/>
      <c r="H27" s="71"/>
      <c r="I27" s="70"/>
      <c r="J27" s="70"/>
      <c r="K27" s="70">
        <f>'ŞİRKET ARAÇ'!G96+'ŞİRKET ARAÇ'!G97</f>
        <v>131040</v>
      </c>
      <c r="L27" s="75">
        <f t="shared" si="0"/>
        <v>131040</v>
      </c>
    </row>
    <row r="28" spans="1:13" ht="18" thickTop="1" thickBot="1" x14ac:dyDescent="0.35">
      <c r="A28" s="10" t="s">
        <v>286</v>
      </c>
      <c r="B28" s="76" t="s">
        <v>196</v>
      </c>
      <c r="C28" s="70"/>
      <c r="D28" s="70"/>
      <c r="E28" s="70"/>
      <c r="F28" s="70"/>
      <c r="G28" s="71">
        <f>'ŞİRKET ARAÇ'!G28</f>
        <v>15603.75</v>
      </c>
      <c r="H28" s="71"/>
      <c r="I28" s="70"/>
      <c r="J28" s="70"/>
      <c r="K28" s="70">
        <f>'ŞİRKET ARAÇ'!G107</f>
        <v>92700</v>
      </c>
      <c r="L28" s="75">
        <f t="shared" si="0"/>
        <v>108303.75</v>
      </c>
    </row>
    <row r="29" spans="1:13" s="12" customFormat="1" ht="18" customHeight="1" thickTop="1" thickBot="1" x14ac:dyDescent="0.35">
      <c r="B29" s="13"/>
      <c r="C29" s="14">
        <f t="shared" ref="C29:L29" si="1">SUM(C2:C28)</f>
        <v>183257.5</v>
      </c>
      <c r="D29" s="14">
        <f t="shared" si="1"/>
        <v>313625</v>
      </c>
      <c r="E29" s="14">
        <f t="shared" si="1"/>
        <v>320660</v>
      </c>
      <c r="F29" s="14">
        <f t="shared" si="1"/>
        <v>251355</v>
      </c>
      <c r="G29" s="14">
        <f t="shared" si="1"/>
        <v>313452.5</v>
      </c>
      <c r="H29" s="14">
        <f t="shared" si="1"/>
        <v>432650</v>
      </c>
      <c r="I29" s="14">
        <f t="shared" si="1"/>
        <v>188100</v>
      </c>
      <c r="J29" s="14">
        <f t="shared" si="1"/>
        <v>205800</v>
      </c>
      <c r="K29" s="14">
        <f t="shared" si="1"/>
        <v>294090</v>
      </c>
      <c r="L29" s="14">
        <f t="shared" si="1"/>
        <v>2502990</v>
      </c>
    </row>
    <row r="30" spans="1:13" ht="15.6" customHeight="1" thickTop="1" thickBot="1" x14ac:dyDescent="0.35">
      <c r="C30" s="11"/>
      <c r="D30" s="11"/>
      <c r="E30" s="11"/>
      <c r="F30" s="11"/>
      <c r="G30" s="72"/>
      <c r="H30" s="11"/>
      <c r="I30" s="11"/>
      <c r="J30" s="585" t="s">
        <v>251</v>
      </c>
      <c r="K30" s="585"/>
      <c r="L30" s="11">
        <f>'ŞİRKET ARAÇ'!G64</f>
        <v>1030500</v>
      </c>
      <c r="M30" s="3"/>
    </row>
    <row r="31" spans="1:13" ht="19.2" customHeight="1" thickTop="1" x14ac:dyDescent="0.3">
      <c r="C31" s="11"/>
      <c r="D31" s="11"/>
      <c r="E31" s="11"/>
      <c r="F31" s="11"/>
      <c r="G31" s="72"/>
      <c r="H31" s="11"/>
      <c r="I31" s="11"/>
      <c r="J31" s="586" t="s">
        <v>252</v>
      </c>
      <c r="K31" s="586"/>
      <c r="L31" s="11">
        <f>SUM(L29:L30)</f>
        <v>3533490</v>
      </c>
      <c r="M31" s="5"/>
    </row>
    <row r="32" spans="1:13" ht="15.6" customHeight="1" thickBot="1" x14ac:dyDescent="0.35">
      <c r="C32" s="11"/>
      <c r="D32" s="11"/>
      <c r="E32" s="11"/>
      <c r="F32" s="11"/>
      <c r="G32" s="72"/>
      <c r="H32" s="11"/>
      <c r="I32" s="11"/>
      <c r="J32" s="11"/>
      <c r="K32" s="11"/>
      <c r="L32" s="11"/>
      <c r="M32" s="5"/>
    </row>
    <row r="33" spans="1:10" ht="34.950000000000003" customHeight="1" thickTop="1" thickBot="1" x14ac:dyDescent="0.35">
      <c r="A33" s="77" t="s">
        <v>202</v>
      </c>
      <c r="B33" s="77" t="s">
        <v>1</v>
      </c>
      <c r="C33" s="78" t="s">
        <v>198</v>
      </c>
      <c r="D33" s="79" t="s">
        <v>190</v>
      </c>
      <c r="E33" s="78" t="s">
        <v>197</v>
      </c>
      <c r="F33" s="79" t="s">
        <v>199</v>
      </c>
      <c r="G33" s="79" t="s">
        <v>3</v>
      </c>
      <c r="H33" s="80" t="s">
        <v>285</v>
      </c>
      <c r="I33" s="80" t="s">
        <v>186</v>
      </c>
      <c r="J33" s="105"/>
    </row>
    <row r="34" spans="1:10" ht="19.95" customHeight="1" thickTop="1" thickBot="1" x14ac:dyDescent="0.35">
      <c r="A34" s="17" t="str">
        <f>A2</f>
        <v>BURDA /3 vrd</v>
      </c>
      <c r="B34" s="17" t="str">
        <f>B2</f>
        <v>54 S 0571</v>
      </c>
      <c r="C34" s="3">
        <f>L2</f>
        <v>108257.5</v>
      </c>
      <c r="D34" s="16">
        <v>23736</v>
      </c>
      <c r="E34" s="3">
        <v>22500</v>
      </c>
      <c r="F34" s="3">
        <v>9800</v>
      </c>
      <c r="G34" s="73">
        <f t="shared" ref="G34:G58" si="2">C34-D34-E34-F34</f>
        <v>52221.5</v>
      </c>
      <c r="H34" s="3"/>
      <c r="I34" s="3">
        <f t="shared" ref="I34:I58" si="3">SUM(G34:H34)</f>
        <v>52221.5</v>
      </c>
      <c r="J34" s="106"/>
    </row>
    <row r="35" spans="1:10" ht="19.95" customHeight="1" thickTop="1" thickBot="1" x14ac:dyDescent="0.35">
      <c r="A35" s="17" t="str">
        <f>A11</f>
        <v xml:space="preserve"> BURDA BEBEK GRŞ ÇIKIŞ</v>
      </c>
      <c r="B35" s="17" t="str">
        <f>B11</f>
        <v>54 S 0859</v>
      </c>
      <c r="C35" s="3">
        <f>L11</f>
        <v>75000</v>
      </c>
      <c r="D35" s="70">
        <v>14391.8</v>
      </c>
      <c r="E35" s="3">
        <v>19000</v>
      </c>
      <c r="F35" s="3">
        <v>8500</v>
      </c>
      <c r="G35" s="73">
        <f>C35-D35-E35-F35</f>
        <v>33108.199999999997</v>
      </c>
      <c r="H35" s="3">
        <f>'[1]SAKARYA BÜYÜKŞEHİR'!$G$11</f>
        <v>28000</v>
      </c>
      <c r="I35" s="3">
        <f>SUM(G35:H35)</f>
        <v>61108.2</v>
      </c>
      <c r="J35" s="106"/>
    </row>
    <row r="36" spans="1:10" ht="19.95" customHeight="1" thickTop="1" thickBot="1" x14ac:dyDescent="0.35">
      <c r="A36" s="17" t="str">
        <f>A4</f>
        <v>ISILSAN MAKİNA-AYYAN GECE</v>
      </c>
      <c r="B36" s="17" t="str">
        <f>B4</f>
        <v>54 S 0856</v>
      </c>
      <c r="C36" s="3">
        <f>L4</f>
        <v>94925</v>
      </c>
      <c r="D36" s="70">
        <v>21292.639999999999</v>
      </c>
      <c r="E36" s="3">
        <v>19000</v>
      </c>
      <c r="F36" s="3">
        <v>8500</v>
      </c>
      <c r="G36" s="73">
        <f t="shared" si="2"/>
        <v>46132.36</v>
      </c>
      <c r="H36" s="3">
        <f>'[1]ADP MEB'!$G$25</f>
        <v>20832.5</v>
      </c>
      <c r="I36" s="3">
        <f t="shared" si="3"/>
        <v>66964.86</v>
      </c>
      <c r="J36" s="106"/>
    </row>
    <row r="37" spans="1:10" ht="19.95" customHeight="1" thickTop="1" thickBot="1" x14ac:dyDescent="0.35">
      <c r="A37" s="17" t="str">
        <f>A5</f>
        <v>ISILSAN MAKİNA</v>
      </c>
      <c r="B37" s="17" t="str">
        <f>B5</f>
        <v>54 S 0567</v>
      </c>
      <c r="C37" s="3">
        <f>L5</f>
        <v>72450</v>
      </c>
      <c r="D37" s="70">
        <v>17112.5</v>
      </c>
      <c r="E37" s="3">
        <v>20000</v>
      </c>
      <c r="F37" s="3">
        <v>8500</v>
      </c>
      <c r="G37" s="73">
        <f t="shared" si="2"/>
        <v>26837.5</v>
      </c>
      <c r="H37" s="3">
        <f>[1]SERDİVAN!$H$38</f>
        <v>19305</v>
      </c>
      <c r="I37" s="3">
        <f t="shared" si="3"/>
        <v>46142.5</v>
      </c>
      <c r="J37" s="106"/>
    </row>
    <row r="38" spans="1:10" ht="19.95" customHeight="1" thickTop="1" thickBot="1" x14ac:dyDescent="0.35">
      <c r="A38" s="17" t="str">
        <f>A15</f>
        <v>VAGON/BAŞAK</v>
      </c>
      <c r="B38" s="17" t="str">
        <f>B15</f>
        <v>54 S 1194</v>
      </c>
      <c r="C38" s="3">
        <f>L15</f>
        <v>95561.25</v>
      </c>
      <c r="D38" s="70">
        <v>9779</v>
      </c>
      <c r="E38" s="3">
        <v>19000</v>
      </c>
      <c r="F38" s="3">
        <v>8500</v>
      </c>
      <c r="G38" s="73">
        <f t="shared" si="2"/>
        <v>58282.25</v>
      </c>
      <c r="H38" s="3"/>
      <c r="I38" s="3">
        <f t="shared" si="3"/>
        <v>58282.25</v>
      </c>
      <c r="J38" s="106"/>
    </row>
    <row r="39" spans="1:10" ht="19.95" customHeight="1" thickTop="1" thickBot="1" x14ac:dyDescent="0.35">
      <c r="A39" s="176" t="str">
        <f>A26</f>
        <v>GEDİK KAYNAK</v>
      </c>
      <c r="B39" s="17" t="str">
        <f>B26</f>
        <v>54 S 0561</v>
      </c>
      <c r="C39" s="3">
        <f>L26</f>
        <v>70350</v>
      </c>
      <c r="D39" s="70">
        <v>11075.25</v>
      </c>
      <c r="E39" s="3">
        <v>19000</v>
      </c>
      <c r="F39" s="3">
        <v>8500</v>
      </c>
      <c r="G39" s="73">
        <f t="shared" si="2"/>
        <v>31774.75</v>
      </c>
      <c r="H39" s="3"/>
      <c r="I39" s="3">
        <f t="shared" si="3"/>
        <v>31774.75</v>
      </c>
      <c r="J39" s="106"/>
    </row>
    <row r="40" spans="1:10" ht="19.95" customHeight="1" thickTop="1" thickBot="1" x14ac:dyDescent="0.35">
      <c r="A40" s="18" t="str">
        <f>A8</f>
        <v>B PLAS 3 VRD/VGON</v>
      </c>
      <c r="B40" s="18" t="str">
        <f>B8</f>
        <v>54 S 3116</v>
      </c>
      <c r="C40" s="3">
        <f>L8</f>
        <v>124100</v>
      </c>
      <c r="D40" s="70">
        <v>20073.95</v>
      </c>
      <c r="E40" s="3">
        <v>26500</v>
      </c>
      <c r="F40" s="3">
        <v>9800</v>
      </c>
      <c r="G40" s="70">
        <f t="shared" si="2"/>
        <v>67726.05</v>
      </c>
      <c r="H40" s="3"/>
      <c r="I40" s="3">
        <f t="shared" si="3"/>
        <v>67726.05</v>
      </c>
      <c r="J40" s="106"/>
    </row>
    <row r="41" spans="1:10" ht="19.95" customHeight="1" thickTop="1" thickBot="1" x14ac:dyDescent="0.35">
      <c r="A41" s="17" t="str">
        <f>A9</f>
        <v>B PLAS KORUCUK</v>
      </c>
      <c r="B41" s="17" t="s">
        <v>161</v>
      </c>
      <c r="C41" s="3">
        <f>L9</f>
        <v>196560</v>
      </c>
      <c r="D41" s="70">
        <v>41247.68</v>
      </c>
      <c r="E41" s="3">
        <v>26500</v>
      </c>
      <c r="F41" s="3">
        <v>9800</v>
      </c>
      <c r="G41" s="73">
        <f t="shared" si="2"/>
        <v>119012.32</v>
      </c>
      <c r="H41" s="3"/>
      <c r="I41" s="3">
        <f t="shared" si="3"/>
        <v>119012.32</v>
      </c>
      <c r="J41" s="106"/>
    </row>
    <row r="42" spans="1:10" ht="19.95" customHeight="1" thickTop="1" thickBot="1" x14ac:dyDescent="0.35">
      <c r="A42" s="17" t="str">
        <f>A14</f>
        <v>ALYAN/ K.TOPRAK 3 VRD</v>
      </c>
      <c r="B42" s="17" t="str">
        <f>B14</f>
        <v>54 S 0573</v>
      </c>
      <c r="C42" s="3">
        <f>L14</f>
        <v>97880</v>
      </c>
      <c r="D42" s="70">
        <v>18916.830000000002</v>
      </c>
      <c r="E42" s="3">
        <v>22500</v>
      </c>
      <c r="F42" s="3">
        <v>9800</v>
      </c>
      <c r="G42" s="73">
        <f t="shared" si="2"/>
        <v>46663.17</v>
      </c>
      <c r="H42" s="3"/>
      <c r="I42" s="3">
        <f t="shared" si="3"/>
        <v>46663.17</v>
      </c>
      <c r="J42" s="106"/>
    </row>
    <row r="43" spans="1:10" ht="19.95" customHeight="1" thickTop="1" thickBot="1" x14ac:dyDescent="0.35">
      <c r="A43" s="17" t="s">
        <v>165</v>
      </c>
      <c r="B43" s="17" t="str">
        <f>B10</f>
        <v>54 S 0855</v>
      </c>
      <c r="C43" s="3">
        <f>'ŞİRKET ARAÇ'!G79+'ŞİRKET ARAÇ'!G80</f>
        <v>68600</v>
      </c>
      <c r="D43" s="70">
        <v>15253.82</v>
      </c>
      <c r="E43" s="3">
        <v>22500</v>
      </c>
      <c r="F43" s="3">
        <v>9800</v>
      </c>
      <c r="G43" s="73">
        <f t="shared" si="2"/>
        <v>21046.18</v>
      </c>
      <c r="H43" s="3"/>
      <c r="I43" s="3">
        <f t="shared" si="3"/>
        <v>21046.18</v>
      </c>
      <c r="J43" s="106"/>
    </row>
    <row r="44" spans="1:10" ht="19.95" customHeight="1" thickTop="1" thickBot="1" x14ac:dyDescent="0.35">
      <c r="A44" s="17" t="str">
        <f t="shared" ref="A44:B47" si="4">A16</f>
        <v>VAGON/BAŞAK</v>
      </c>
      <c r="B44" s="17" t="str">
        <f t="shared" si="4"/>
        <v>54 S 0562</v>
      </c>
      <c r="C44" s="3">
        <f>L16</f>
        <v>147500</v>
      </c>
      <c r="D44" s="70">
        <v>9330.06</v>
      </c>
      <c r="E44" s="3">
        <v>17000</v>
      </c>
      <c r="F44" s="3">
        <v>8000</v>
      </c>
      <c r="G44" s="73">
        <f t="shared" si="2"/>
        <v>113169.94</v>
      </c>
      <c r="H44" s="3"/>
      <c r="I44" s="3">
        <f t="shared" si="3"/>
        <v>113169.94</v>
      </c>
      <c r="J44" s="106"/>
    </row>
    <row r="45" spans="1:10" ht="19.95" customHeight="1" thickTop="1" thickBot="1" x14ac:dyDescent="0.35">
      <c r="A45" s="17" t="str">
        <f t="shared" si="4"/>
        <v>VAGON/BAŞAK</v>
      </c>
      <c r="B45" s="17" t="str">
        <f t="shared" si="4"/>
        <v>54 S 0565</v>
      </c>
      <c r="C45" s="3">
        <f>L17</f>
        <v>81903.75</v>
      </c>
      <c r="D45" s="70">
        <v>18523.04</v>
      </c>
      <c r="E45" s="3">
        <v>19000</v>
      </c>
      <c r="F45" s="3">
        <v>8500</v>
      </c>
      <c r="G45" s="73">
        <f t="shared" si="2"/>
        <v>35880.71</v>
      </c>
      <c r="H45" s="3">
        <f>[1]SERDİVAN!$H$29</f>
        <v>16250</v>
      </c>
      <c r="I45" s="3">
        <f t="shared" si="3"/>
        <v>52130.71</v>
      </c>
      <c r="J45" s="106"/>
    </row>
    <row r="46" spans="1:10" ht="19.95" customHeight="1" thickTop="1" thickBot="1" x14ac:dyDescent="0.35">
      <c r="A46" s="17" t="str">
        <f t="shared" si="4"/>
        <v>VAGON/BAŞAK</v>
      </c>
      <c r="B46" s="17" t="str">
        <f t="shared" si="4"/>
        <v>54 S 0564</v>
      </c>
      <c r="C46" s="3">
        <f>L18</f>
        <v>87003.75</v>
      </c>
      <c r="D46" s="70">
        <v>18421.060000000001</v>
      </c>
      <c r="E46" s="3">
        <v>22500</v>
      </c>
      <c r="F46" s="3">
        <v>9800</v>
      </c>
      <c r="G46" s="73">
        <f t="shared" si="2"/>
        <v>36282.69</v>
      </c>
      <c r="H46" s="3">
        <f>[1]SERDİVAN!$H$35</f>
        <v>18525</v>
      </c>
      <c r="I46" s="3">
        <f t="shared" si="3"/>
        <v>54807.69</v>
      </c>
      <c r="J46" s="106"/>
    </row>
    <row r="47" spans="1:10" ht="19.95" customHeight="1" thickTop="1" thickBot="1" x14ac:dyDescent="0.35">
      <c r="A47" s="17" t="str">
        <f t="shared" si="4"/>
        <v>VAGON/BAŞAK</v>
      </c>
      <c r="B47" s="17" t="str">
        <f t="shared" si="4"/>
        <v>54 S 0857</v>
      </c>
      <c r="C47" s="3">
        <f>L19</f>
        <v>107403.75</v>
      </c>
      <c r="D47" s="70">
        <v>20896.62</v>
      </c>
      <c r="E47" s="3">
        <v>20000</v>
      </c>
      <c r="F47" s="3">
        <v>8500</v>
      </c>
      <c r="G47" s="73">
        <f t="shared" si="2"/>
        <v>58007.130000000005</v>
      </c>
      <c r="H47" s="3">
        <f>[1]SERDİVAN!$H$37</f>
        <v>16445</v>
      </c>
      <c r="I47" s="3">
        <f t="shared" si="3"/>
        <v>74452.13</v>
      </c>
      <c r="J47" s="106"/>
    </row>
    <row r="48" spans="1:10" ht="19.95" customHeight="1" thickTop="1" thickBot="1" x14ac:dyDescent="0.35">
      <c r="A48" s="17" t="str">
        <f>A23</f>
        <v>VAGON ORMAN</v>
      </c>
      <c r="B48" s="17" t="str">
        <f>B23</f>
        <v>54 S 0572</v>
      </c>
      <c r="C48" s="3">
        <f>L23</f>
        <v>109653.75</v>
      </c>
      <c r="D48" s="70">
        <v>17146.43</v>
      </c>
      <c r="E48" s="3">
        <v>19000</v>
      </c>
      <c r="F48" s="3">
        <v>8500</v>
      </c>
      <c r="G48" s="73">
        <f t="shared" si="2"/>
        <v>65007.320000000007</v>
      </c>
      <c r="H48" s="3">
        <f>[1]SERDİVAN!$H$30</f>
        <v>18525</v>
      </c>
      <c r="I48" s="3">
        <f t="shared" si="3"/>
        <v>83532.320000000007</v>
      </c>
      <c r="J48" s="106"/>
    </row>
    <row r="49" spans="1:11" ht="19.95" customHeight="1" thickTop="1" thickBot="1" x14ac:dyDescent="0.35">
      <c r="A49" s="17" t="str">
        <f>A7</f>
        <v>ISILSAN MAKİNA</v>
      </c>
      <c r="B49" s="17" t="str">
        <f>B7</f>
        <v>54 S 0569</v>
      </c>
      <c r="C49" s="3">
        <f>L7</f>
        <v>108150</v>
      </c>
      <c r="D49" s="70">
        <v>15892.97</v>
      </c>
      <c r="E49" s="3">
        <v>20000</v>
      </c>
      <c r="F49" s="3">
        <v>8500</v>
      </c>
      <c r="G49" s="73">
        <f t="shared" si="2"/>
        <v>63757.03</v>
      </c>
      <c r="H49" s="3"/>
      <c r="I49" s="3">
        <f t="shared" si="3"/>
        <v>63757.03</v>
      </c>
      <c r="J49" s="106"/>
    </row>
    <row r="50" spans="1:11" ht="19.95" customHeight="1" thickTop="1" thickBot="1" x14ac:dyDescent="0.35">
      <c r="A50" s="17" t="str">
        <f>A20</f>
        <v>VAGON/BAŞAK</v>
      </c>
      <c r="B50" s="17" t="str">
        <f>B20</f>
        <v>54 S 0257</v>
      </c>
      <c r="C50" s="3">
        <f>L20</f>
        <v>80607.5</v>
      </c>
      <c r="D50" s="70">
        <v>8789.51</v>
      </c>
      <c r="E50" s="3">
        <v>19000</v>
      </c>
      <c r="F50" s="3">
        <v>8500</v>
      </c>
      <c r="G50" s="73">
        <f t="shared" si="2"/>
        <v>44317.990000000005</v>
      </c>
      <c r="H50" s="3">
        <f>[1]SERDİVAN!$H$40</f>
        <v>16640</v>
      </c>
      <c r="I50" s="3">
        <f t="shared" si="3"/>
        <v>60957.990000000005</v>
      </c>
      <c r="J50" s="106"/>
    </row>
    <row r="51" spans="1:11" ht="19.95" customHeight="1" thickTop="1" thickBot="1" x14ac:dyDescent="0.35">
      <c r="A51" s="17" t="str">
        <f>A22</f>
        <v>VAGON ORMAN</v>
      </c>
      <c r="B51" s="17" t="str">
        <f>B22</f>
        <v>54 S 2295</v>
      </c>
      <c r="C51" s="3">
        <f>L22</f>
        <v>109653.75</v>
      </c>
      <c r="D51" s="70">
        <v>10831.57</v>
      </c>
      <c r="E51" s="3">
        <v>19000</v>
      </c>
      <c r="F51" s="3">
        <v>8500</v>
      </c>
      <c r="G51" s="70">
        <f t="shared" si="2"/>
        <v>71322.179999999993</v>
      </c>
      <c r="H51" s="3">
        <f>'[1]SAKARYA BÜYÜKŞEHİR'!$G$13</f>
        <v>32500</v>
      </c>
      <c r="I51" s="3">
        <f t="shared" si="3"/>
        <v>103822.18</v>
      </c>
      <c r="J51" s="106"/>
    </row>
    <row r="52" spans="1:11" ht="19.95" customHeight="1" thickTop="1" thickBot="1" x14ac:dyDescent="0.35">
      <c r="A52" s="176" t="str">
        <f>D1</f>
        <v>ISILSAN</v>
      </c>
      <c r="B52" s="17" t="str">
        <f>B12</f>
        <v>54 S 0858</v>
      </c>
      <c r="C52" s="3">
        <f>L12</f>
        <v>53600</v>
      </c>
      <c r="D52" s="70">
        <v>18713.18</v>
      </c>
      <c r="E52" s="3">
        <v>19000</v>
      </c>
      <c r="F52" s="3">
        <v>8500</v>
      </c>
      <c r="G52" s="73">
        <f t="shared" si="2"/>
        <v>7386.82</v>
      </c>
      <c r="H52" s="3">
        <f>'[1]SAKARYA BÜYÜKŞEHİR'!$G$12</f>
        <v>76500</v>
      </c>
      <c r="I52" s="3">
        <f t="shared" si="3"/>
        <v>83886.82</v>
      </c>
      <c r="J52" s="106"/>
    </row>
    <row r="53" spans="1:11" ht="19.95" customHeight="1" thickTop="1" thickBot="1" x14ac:dyDescent="0.35">
      <c r="A53" s="17" t="str">
        <f>A27</f>
        <v>GEDİK KAYNAK VRD</v>
      </c>
      <c r="B53" s="17" t="str">
        <f>B27</f>
        <v>54 S 0560</v>
      </c>
      <c r="C53" s="3">
        <f>L27</f>
        <v>131040</v>
      </c>
      <c r="D53" s="70">
        <v>23698.76</v>
      </c>
      <c r="E53" s="3">
        <v>25000</v>
      </c>
      <c r="F53" s="3">
        <v>9800</v>
      </c>
      <c r="G53" s="73">
        <f t="shared" si="2"/>
        <v>72541.240000000005</v>
      </c>
      <c r="H53" s="3"/>
      <c r="I53" s="3">
        <f t="shared" si="3"/>
        <v>72541.240000000005</v>
      </c>
      <c r="J53" s="106"/>
    </row>
    <row r="54" spans="1:11" ht="19.95" customHeight="1" thickTop="1" thickBot="1" x14ac:dyDescent="0.35">
      <c r="A54" s="17" t="str">
        <f>A28</f>
        <v>GEDİK KAYNAK/VAGON</v>
      </c>
      <c r="B54" s="17" t="str">
        <f>B28</f>
        <v>54 S 2933</v>
      </c>
      <c r="C54" s="3">
        <f>L28</f>
        <v>108303.75</v>
      </c>
      <c r="D54" s="70">
        <v>21558.400000000001</v>
      </c>
      <c r="E54" s="3">
        <v>19000</v>
      </c>
      <c r="F54" s="3">
        <v>8500</v>
      </c>
      <c r="G54" s="70">
        <f t="shared" si="2"/>
        <v>59245.350000000006</v>
      </c>
      <c r="H54" s="3">
        <f>'[1]SAKARYA BÜYÜKŞEHİR'!$G$10</f>
        <v>40000</v>
      </c>
      <c r="I54" s="3">
        <f t="shared" si="3"/>
        <v>99245.35</v>
      </c>
      <c r="J54" s="106"/>
    </row>
    <row r="55" spans="1:11" ht="19.95" customHeight="1" thickTop="1" thickBot="1" x14ac:dyDescent="0.35">
      <c r="A55" s="17" t="str">
        <f>A25</f>
        <v>DBE FİRMA</v>
      </c>
      <c r="B55" s="17" t="str">
        <f>B25</f>
        <v>54 S 0566</v>
      </c>
      <c r="C55" s="3">
        <f>L25</f>
        <v>109200</v>
      </c>
      <c r="D55" s="70">
        <v>23281.79</v>
      </c>
      <c r="E55" s="3">
        <v>19000</v>
      </c>
      <c r="F55" s="3">
        <v>8500</v>
      </c>
      <c r="G55" s="73">
        <f t="shared" si="2"/>
        <v>58418.209999999992</v>
      </c>
      <c r="H55" s="3">
        <f>[1]SERDİVAN!$H$34</f>
        <v>17420</v>
      </c>
      <c r="I55" s="3">
        <f t="shared" si="3"/>
        <v>75838.209999999992</v>
      </c>
      <c r="J55" s="106"/>
    </row>
    <row r="56" spans="1:11" ht="19.95" customHeight="1" thickTop="1" thickBot="1" x14ac:dyDescent="0.35">
      <c r="A56" s="17" t="str">
        <f>A24</f>
        <v>AQUAKRAFT</v>
      </c>
      <c r="B56" s="17" t="str">
        <f>B24</f>
        <v>54 S 0563</v>
      </c>
      <c r="C56" s="3">
        <f>L24</f>
        <v>96600</v>
      </c>
      <c r="D56" s="70">
        <v>7861.89</v>
      </c>
      <c r="E56" s="3">
        <v>19000</v>
      </c>
      <c r="F56" s="3">
        <v>8500</v>
      </c>
      <c r="G56" s="73">
        <f t="shared" si="2"/>
        <v>61238.11</v>
      </c>
      <c r="H56" s="3"/>
      <c r="I56" s="3">
        <f t="shared" si="3"/>
        <v>61238.11</v>
      </c>
      <c r="J56" s="106"/>
    </row>
    <row r="57" spans="1:11" ht="19.95" customHeight="1" thickTop="1" thickBot="1" x14ac:dyDescent="0.35">
      <c r="A57" s="17" t="str">
        <f>A6</f>
        <v>ISILSAN MAKİNA</v>
      </c>
      <c r="B57" s="17" t="str">
        <f>B6</f>
        <v>54 S 0860</v>
      </c>
      <c r="C57" s="70">
        <f>L6</f>
        <v>69375</v>
      </c>
      <c r="D57" s="70">
        <v>11591.38</v>
      </c>
      <c r="E57" s="70">
        <v>22500</v>
      </c>
      <c r="F57" s="70">
        <v>9800</v>
      </c>
      <c r="G57" s="73">
        <f t="shared" si="2"/>
        <v>25483.620000000003</v>
      </c>
      <c r="H57" s="70"/>
      <c r="I57" s="70">
        <f t="shared" si="3"/>
        <v>25483.620000000003</v>
      </c>
      <c r="J57" s="267"/>
    </row>
    <row r="58" spans="1:11" ht="19.95" customHeight="1" thickTop="1" thickBot="1" x14ac:dyDescent="0.35">
      <c r="A58" s="17" t="str">
        <f>A21</f>
        <v>VAGON/BAŞAK</v>
      </c>
      <c r="B58" s="17" t="str">
        <f>B21</f>
        <v>54 S 1773</v>
      </c>
      <c r="C58" s="70">
        <f>L21</f>
        <v>99311.25</v>
      </c>
      <c r="D58" s="70">
        <v>15961.53</v>
      </c>
      <c r="E58" s="70">
        <v>35000</v>
      </c>
      <c r="F58" s="70">
        <v>9800</v>
      </c>
      <c r="G58" s="73">
        <f t="shared" si="2"/>
        <v>38549.72</v>
      </c>
      <c r="H58" s="70">
        <f>[1]SERDİVAN!$H$36</f>
        <v>15015</v>
      </c>
      <c r="I58" s="70">
        <f t="shared" si="3"/>
        <v>53564.72</v>
      </c>
      <c r="J58" s="267"/>
    </row>
    <row r="59" spans="1:11" ht="19.95" customHeight="1" thickTop="1" thickBot="1" x14ac:dyDescent="0.35">
      <c r="A59" s="508" t="s">
        <v>603</v>
      </c>
      <c r="B59" s="508" t="str">
        <f>B3</f>
        <v>54 S 0568</v>
      </c>
      <c r="C59" s="509">
        <f>L3</f>
        <v>0</v>
      </c>
      <c r="D59" s="509"/>
      <c r="E59" s="509"/>
      <c r="F59" s="509"/>
      <c r="G59" s="510">
        <f>C59-D59-E59-F59</f>
        <v>0</v>
      </c>
      <c r="H59" s="509"/>
      <c r="I59" s="509">
        <f>SUM(G59:H59)</f>
        <v>0</v>
      </c>
      <c r="J59" s="106"/>
    </row>
    <row r="60" spans="1:11" ht="19.95" customHeight="1" thickTop="1" x14ac:dyDescent="0.3">
      <c r="B60" s="15"/>
      <c r="C60" s="107">
        <f t="shared" ref="C60:I60" si="5">SUM(C34:C59)</f>
        <v>2502990</v>
      </c>
      <c r="D60" s="107">
        <f t="shared" si="5"/>
        <v>435377.66000000009</v>
      </c>
      <c r="E60" s="107">
        <f t="shared" si="5"/>
        <v>530500</v>
      </c>
      <c r="F60" s="107">
        <f t="shared" si="5"/>
        <v>223700</v>
      </c>
      <c r="G60" s="107">
        <f t="shared" si="5"/>
        <v>1313412.3400000001</v>
      </c>
      <c r="H60" s="107">
        <f t="shared" si="5"/>
        <v>335957.5</v>
      </c>
      <c r="I60" s="107">
        <f t="shared" si="5"/>
        <v>1649369.84</v>
      </c>
      <c r="J60" s="5"/>
    </row>
    <row r="61" spans="1:11" ht="15.6" customHeight="1" x14ac:dyDescent="0.3"/>
    <row r="62" spans="1:11" ht="15.6" customHeight="1" x14ac:dyDescent="0.3"/>
    <row r="63" spans="1:11" ht="15.6" customHeight="1" x14ac:dyDescent="0.3">
      <c r="C63" s="5"/>
    </row>
    <row r="64" spans="1:11" s="201" customFormat="1" ht="23.4" customHeight="1" thickBot="1" x14ac:dyDescent="0.35">
      <c r="A64" s="583" t="s">
        <v>217</v>
      </c>
      <c r="B64" s="583"/>
      <c r="C64" s="583"/>
      <c r="D64" s="583"/>
      <c r="E64" s="583"/>
      <c r="G64" s="584" t="s">
        <v>234</v>
      </c>
      <c r="H64" s="584"/>
      <c r="I64" s="584"/>
      <c r="J64" s="584"/>
      <c r="K64" s="584"/>
    </row>
    <row r="65" spans="1:12" s="201" customFormat="1" ht="18" customHeight="1" thickTop="1" thickBot="1" x14ac:dyDescent="0.35">
      <c r="A65" s="202" t="s">
        <v>217</v>
      </c>
      <c r="B65" s="203"/>
      <c r="C65" s="203" t="s">
        <v>30</v>
      </c>
      <c r="D65" s="203" t="s">
        <v>31</v>
      </c>
      <c r="E65" s="203" t="s">
        <v>3</v>
      </c>
      <c r="G65" s="204"/>
      <c r="H65" s="203" t="s">
        <v>30</v>
      </c>
      <c r="I65" s="203" t="s">
        <v>31</v>
      </c>
      <c r="J65" s="203"/>
      <c r="K65" s="203" t="s">
        <v>3</v>
      </c>
    </row>
    <row r="66" spans="1:12" s="208" customFormat="1" ht="18" customHeight="1" thickTop="1" thickBot="1" x14ac:dyDescent="0.35">
      <c r="A66" s="205" t="str">
        <f>FATURALANDIRMA!B1</f>
        <v>BAŞAK TRAKTÖR</v>
      </c>
      <c r="B66" s="206"/>
      <c r="C66" s="207">
        <f>FATURALANDIRMA!C52</f>
        <v>378233.33000000007</v>
      </c>
      <c r="D66" s="207">
        <f>FATURALANDIRMA!D52</f>
        <v>91551.666000000027</v>
      </c>
      <c r="E66" s="207">
        <f>FATURALANDIRMA!E52</f>
        <v>469784.99600000028</v>
      </c>
      <c r="G66" s="206" t="s">
        <v>29</v>
      </c>
      <c r="H66" s="209">
        <f>FATURALANDIRMA!C50</f>
        <v>432650</v>
      </c>
      <c r="I66" s="209">
        <f>FATURALANDIRMA!D50</f>
        <v>43265</v>
      </c>
      <c r="J66" s="209"/>
      <c r="K66" s="209">
        <f>FATURALANDIRMA!E50</f>
        <v>475915</v>
      </c>
      <c r="L66" s="215">
        <f>E66+K66</f>
        <v>945699.99600000028</v>
      </c>
    </row>
    <row r="67" spans="1:12" s="208" customFormat="1" ht="18" customHeight="1" thickTop="1" thickBot="1" x14ac:dyDescent="0.35">
      <c r="A67" s="205" t="str">
        <f>FATURALANDIRMA!B57</f>
        <v>TÜVESAŞ PERSONEL</v>
      </c>
      <c r="B67" s="206"/>
      <c r="C67" s="207">
        <f>FATURALANDIRMA!C88</f>
        <v>185249.51</v>
      </c>
      <c r="D67" s="207">
        <f>FATURALANDIRMA!D88</f>
        <v>46549.91</v>
      </c>
      <c r="E67" s="207">
        <f>FATURALANDIRMA!E88</f>
        <v>231799.42000000004</v>
      </c>
      <c r="G67" s="206" t="s">
        <v>55</v>
      </c>
      <c r="H67" s="209">
        <f>FATURALANDIRMA!C86</f>
        <v>313452.5</v>
      </c>
      <c r="I67" s="209">
        <f>FATURALANDIRMA!D86</f>
        <v>31345.25</v>
      </c>
      <c r="J67" s="209"/>
      <c r="K67" s="209">
        <f>FATURALANDIRMA!E86</f>
        <v>344797.75</v>
      </c>
      <c r="L67" s="215">
        <f t="shared" ref="L67:L79" si="6">E67+K67</f>
        <v>576597.17000000004</v>
      </c>
    </row>
    <row r="68" spans="1:12" s="208" customFormat="1" ht="18" customHeight="1" thickTop="1" thickBot="1" x14ac:dyDescent="0.35">
      <c r="A68" s="205" t="str">
        <f>FATURALANDIRMA!B94</f>
        <v>TÜRESAŞ  ARAÇ</v>
      </c>
      <c r="B68" s="206"/>
      <c r="C68" s="207">
        <f>FATURALANDIRMA!C110</f>
        <v>54320</v>
      </c>
      <c r="D68" s="207">
        <f>FATURALANDIRMA!D110</f>
        <v>90214</v>
      </c>
      <c r="E68" s="207">
        <f>FATURALANDIRMA!E110</f>
        <v>144534</v>
      </c>
      <c r="G68" s="206" t="s">
        <v>56</v>
      </c>
      <c r="H68" s="209">
        <f>FATURALANDIRMA!C108</f>
        <v>1030500</v>
      </c>
      <c r="I68" s="209">
        <f>FATURALANDIRMA!D108</f>
        <v>0</v>
      </c>
      <c r="J68" s="209"/>
      <c r="K68" s="209">
        <f>FATURALANDIRMA!E108</f>
        <v>1030500</v>
      </c>
      <c r="L68" s="215">
        <f t="shared" si="6"/>
        <v>1175034</v>
      </c>
    </row>
    <row r="69" spans="1:12" s="208" customFormat="1" ht="18" customHeight="1" thickTop="1" thickBot="1" x14ac:dyDescent="0.35">
      <c r="A69" s="205" t="str">
        <f>FATURALANDIRMA!B117</f>
        <v xml:space="preserve">ALYAN GIDA  </v>
      </c>
      <c r="B69" s="206"/>
      <c r="C69" s="207">
        <f>FATURALANDIRMA!C150</f>
        <v>168605</v>
      </c>
      <c r="D69" s="207">
        <f>FATURALANDIRMA!D150</f>
        <v>8585.5</v>
      </c>
      <c r="E69" s="207">
        <f>FATURALANDIRMA!E150</f>
        <v>177190.5</v>
      </c>
      <c r="G69" s="206" t="s">
        <v>179</v>
      </c>
      <c r="H69" s="209">
        <f>FATURALANDIRMA!C149</f>
        <v>251355</v>
      </c>
      <c r="I69" s="209">
        <f>FATURALANDIRMA!D149</f>
        <v>50271</v>
      </c>
      <c r="J69" s="209"/>
      <c r="K69" s="209">
        <f>FATURALANDIRMA!E149</f>
        <v>301626</v>
      </c>
      <c r="L69" s="215">
        <f t="shared" si="6"/>
        <v>478816.5</v>
      </c>
    </row>
    <row r="70" spans="1:12" s="208" customFormat="1" ht="18" customHeight="1" thickTop="1" thickBot="1" x14ac:dyDescent="0.35">
      <c r="A70" s="205" t="str">
        <f>FATURALANDIRMA!B156</f>
        <v>GEDİK DÖKÜM</v>
      </c>
      <c r="B70" s="206"/>
      <c r="C70" s="207">
        <f>FATURALANDIRMA!C179</f>
        <v>213600</v>
      </c>
      <c r="D70" s="207">
        <f>FATURALANDIRMA!D179</f>
        <v>42720</v>
      </c>
      <c r="E70" s="207">
        <f>FATURALANDIRMA!E179</f>
        <v>256320</v>
      </c>
      <c r="G70" s="210" t="s">
        <v>102</v>
      </c>
      <c r="H70" s="211">
        <f>FATURALANDIRMA!C178</f>
        <v>0</v>
      </c>
      <c r="I70" s="211">
        <f>FATURALANDIRMA!D178</f>
        <v>0</v>
      </c>
      <c r="J70" s="211"/>
      <c r="K70" s="211">
        <f>FATURALANDIRMA!E178</f>
        <v>0</v>
      </c>
      <c r="L70" s="215">
        <f t="shared" si="6"/>
        <v>256320</v>
      </c>
    </row>
    <row r="71" spans="1:12" s="208" customFormat="1" ht="18" customHeight="1" thickTop="1" thickBot="1" x14ac:dyDescent="0.35">
      <c r="A71" s="205" t="str">
        <f>FATURALANDIRMA!B187</f>
        <v>GEDİK KAYNAK</v>
      </c>
      <c r="B71" s="206"/>
      <c r="C71" s="207">
        <f>FATURALANDIRMA!C217</f>
        <v>508295</v>
      </c>
      <c r="D71" s="207">
        <f>FATURALANDIRMA!D217</f>
        <v>104809</v>
      </c>
      <c r="E71" s="207">
        <f>FATURALANDIRMA!E217</f>
        <v>613104</v>
      </c>
      <c r="G71" s="206" t="s">
        <v>116</v>
      </c>
      <c r="H71" s="209">
        <f>FATURALANDIRMA!C216</f>
        <v>294090</v>
      </c>
      <c r="I71" s="209">
        <f>FATURALANDIRMA!D216</f>
        <v>26259</v>
      </c>
      <c r="J71" s="209"/>
      <c r="K71" s="209">
        <f>FATURALANDIRMA!E216</f>
        <v>320349</v>
      </c>
      <c r="L71" s="215">
        <f t="shared" si="6"/>
        <v>933453</v>
      </c>
    </row>
    <row r="72" spans="1:12" s="208" customFormat="1" ht="18" customHeight="1" thickTop="1" thickBot="1" x14ac:dyDescent="0.35">
      <c r="A72" s="205" t="str">
        <f>FATURALANDIRMA!B222</f>
        <v>TAVSAN</v>
      </c>
      <c r="B72" s="206"/>
      <c r="C72" s="207">
        <f>FATURALANDIRMA!C239</f>
        <v>129730</v>
      </c>
      <c r="D72" s="207">
        <f>FATURALANDIRMA!D239</f>
        <v>25946</v>
      </c>
      <c r="E72" s="207">
        <f>FATURALANDIRMA!E239</f>
        <v>155676</v>
      </c>
      <c r="G72" s="210" t="s">
        <v>129</v>
      </c>
      <c r="H72" s="211">
        <f>FATURALANDIRMA!C238</f>
        <v>0</v>
      </c>
      <c r="I72" s="211">
        <f>FATURALANDIRMA!D238</f>
        <v>0</v>
      </c>
      <c r="J72" s="211"/>
      <c r="K72" s="211">
        <f>FATURALANDIRMA!E238</f>
        <v>0</v>
      </c>
      <c r="L72" s="215">
        <f t="shared" si="6"/>
        <v>155676</v>
      </c>
    </row>
    <row r="73" spans="1:12" s="208" customFormat="1" ht="18" customHeight="1" thickTop="1" thickBot="1" x14ac:dyDescent="0.35">
      <c r="A73" s="205" t="str">
        <f>FATURALANDIRMA!B245</f>
        <v>BURDA BEBEK</v>
      </c>
      <c r="B73" s="206"/>
      <c r="C73" s="207">
        <f>FATURALANDIRMA!C276</f>
        <v>84488.280000000028</v>
      </c>
      <c r="D73" s="207">
        <f>FATURALANDIRMA!D276</f>
        <v>16732.656000000017</v>
      </c>
      <c r="E73" s="207">
        <f>FATURALANDIRMA!E276</f>
        <v>101220.93599999999</v>
      </c>
      <c r="G73" s="206" t="s">
        <v>135</v>
      </c>
      <c r="H73" s="209">
        <f>FATURALANDIRMA!C274</f>
        <v>183257.5</v>
      </c>
      <c r="I73" s="209">
        <f>FATURALANDIRMA!D274</f>
        <v>18325.75</v>
      </c>
      <c r="J73" s="209"/>
      <c r="K73" s="209">
        <f>FATURALANDIRMA!E274</f>
        <v>201583.25</v>
      </c>
      <c r="L73" s="215">
        <f t="shared" si="6"/>
        <v>302804.18599999999</v>
      </c>
    </row>
    <row r="74" spans="1:12" s="208" customFormat="1" ht="18" customHeight="1" thickTop="1" thickBot="1" x14ac:dyDescent="0.35">
      <c r="A74" s="205" t="str">
        <f>FATURALANDIRMA!B282</f>
        <v>İSM OTOMATİV</v>
      </c>
      <c r="B74" s="206"/>
      <c r="C74" s="207">
        <f>FATURALANDIRMA!C297</f>
        <v>18695</v>
      </c>
      <c r="D74" s="207">
        <f>FATURALANDIRMA!D297</f>
        <v>8959</v>
      </c>
      <c r="E74" s="207">
        <f>FATURALANDIRMA!E297</f>
        <v>27654</v>
      </c>
      <c r="G74" s="210" t="s">
        <v>154</v>
      </c>
      <c r="H74" s="211">
        <f>FATURALANDIRMA!C296</f>
        <v>0</v>
      </c>
      <c r="I74" s="211">
        <f>FATURALANDIRMA!D296</f>
        <v>0</v>
      </c>
      <c r="J74" s="211"/>
      <c r="K74" s="211">
        <f>FATURALANDIRMA!E296</f>
        <v>0</v>
      </c>
      <c r="L74" s="215">
        <f t="shared" si="6"/>
        <v>27654</v>
      </c>
    </row>
    <row r="75" spans="1:12" s="208" customFormat="1" ht="18" customHeight="1" thickTop="1" thickBot="1" x14ac:dyDescent="0.35">
      <c r="A75" s="205" t="str">
        <f>FATURALANDIRMA!B300</f>
        <v>AKUAKRAFT</v>
      </c>
      <c r="B75" s="206"/>
      <c r="C75" s="207">
        <f>FATURALANDIRMA!C322</f>
        <v>390410</v>
      </c>
      <c r="D75" s="207">
        <f>FATURALANDIRMA!D322</f>
        <v>78082</v>
      </c>
      <c r="E75" s="207">
        <f>FATURALANDIRMA!E322</f>
        <v>468492</v>
      </c>
      <c r="G75" s="206" t="s">
        <v>155</v>
      </c>
      <c r="H75" s="209">
        <f>FATURALANDIRMA!C321</f>
        <v>109200</v>
      </c>
      <c r="I75" s="209">
        <f>FATURALANDIRMA!D321</f>
        <v>10920</v>
      </c>
      <c r="J75" s="209"/>
      <c r="K75" s="209">
        <f>FATURALANDIRMA!E321</f>
        <v>120120</v>
      </c>
      <c r="L75" s="215">
        <f t="shared" si="6"/>
        <v>588612</v>
      </c>
    </row>
    <row r="76" spans="1:12" s="208" customFormat="1" ht="18" customHeight="1" thickTop="1" thickBot="1" x14ac:dyDescent="0.35">
      <c r="A76" s="205" t="str">
        <f>FATURALANDIRMA!B327</f>
        <v>ISILSAN MAK SAN</v>
      </c>
      <c r="B76" s="206"/>
      <c r="C76" s="207">
        <f>FATURALANDIRMA!C358</f>
        <v>102855</v>
      </c>
      <c r="D76" s="207">
        <f>FATURALANDIRMA!D358</f>
        <v>20196</v>
      </c>
      <c r="E76" s="207">
        <f>SUM(C76:D76)</f>
        <v>123051</v>
      </c>
      <c r="G76" s="206" t="s">
        <v>164</v>
      </c>
      <c r="H76" s="209">
        <f>FATURALANDIRMA!C356</f>
        <v>313625</v>
      </c>
      <c r="I76" s="209">
        <f>FATURALANDIRMA!D356</f>
        <v>31362.5</v>
      </c>
      <c r="J76" s="209"/>
      <c r="K76" s="209">
        <f>FATURALANDIRMA!E356</f>
        <v>344987.5</v>
      </c>
      <c r="L76" s="215">
        <f t="shared" si="6"/>
        <v>468038.5</v>
      </c>
    </row>
    <row r="77" spans="1:12" s="208" customFormat="1" ht="18" customHeight="1" thickTop="1" thickBot="1" x14ac:dyDescent="0.35">
      <c r="A77" s="205" t="str">
        <f>FATURALANDIRMA!B363</f>
        <v>BURSA PLASTIK</v>
      </c>
      <c r="B77" s="206"/>
      <c r="C77" s="207">
        <f>FATURALANDIRMA!C385</f>
        <v>121770</v>
      </c>
      <c r="D77" s="207">
        <f>FATURALANDIRMA!D385</f>
        <v>40457.5</v>
      </c>
      <c r="E77" s="207">
        <f>FATURALANDIRMA!E385</f>
        <v>162227.5</v>
      </c>
      <c r="G77" s="206" t="s">
        <v>152</v>
      </c>
      <c r="H77" s="209">
        <f>FATURALANDIRMA!C383</f>
        <v>320660</v>
      </c>
      <c r="I77" s="209">
        <f>FATURALANDIRMA!D383</f>
        <v>32066</v>
      </c>
      <c r="J77" s="209"/>
      <c r="K77" s="209">
        <f>FATURALANDIRMA!E383</f>
        <v>352726</v>
      </c>
      <c r="L77" s="215">
        <f t="shared" si="6"/>
        <v>514953.5</v>
      </c>
    </row>
    <row r="78" spans="1:12" s="208" customFormat="1" ht="18" customHeight="1" thickTop="1" thickBot="1" x14ac:dyDescent="0.35">
      <c r="A78" s="205"/>
      <c r="B78" s="206"/>
      <c r="C78" s="207"/>
      <c r="D78" s="207"/>
      <c r="E78" s="207"/>
      <c r="G78" s="206" t="s">
        <v>74</v>
      </c>
      <c r="H78" s="209">
        <f>FATURALANDIRMA!C399</f>
        <v>188100</v>
      </c>
      <c r="I78" s="209">
        <f>FATURALANDIRMA!D399</f>
        <v>18810</v>
      </c>
      <c r="J78" s="209"/>
      <c r="K78" s="209">
        <f>FATURALANDIRMA!E399</f>
        <v>206910</v>
      </c>
      <c r="L78" s="215">
        <f t="shared" si="6"/>
        <v>206910</v>
      </c>
    </row>
    <row r="79" spans="1:12" s="208" customFormat="1" ht="18" customHeight="1" thickTop="1" thickBot="1" x14ac:dyDescent="0.35">
      <c r="A79" s="212"/>
      <c r="C79" s="213">
        <f>SUM(C66:C78)</f>
        <v>2356251.12</v>
      </c>
      <c r="D79" s="213">
        <f>SUM(D66:D78)</f>
        <v>574803.23200000008</v>
      </c>
      <c r="E79" s="213">
        <f>SUM(E66:E78)</f>
        <v>2931054.352</v>
      </c>
      <c r="G79" s="206"/>
      <c r="H79" s="214">
        <f>SUM(H66:H78)</f>
        <v>3436890</v>
      </c>
      <c r="I79" s="214">
        <f>SUM(I66:I78)</f>
        <v>262624.5</v>
      </c>
      <c r="J79" s="214"/>
      <c r="K79" s="214">
        <f>SUM(K66:K78)</f>
        <v>3699514.5</v>
      </c>
      <c r="L79" s="215">
        <f t="shared" si="6"/>
        <v>6630568.852</v>
      </c>
    </row>
    <row r="80" spans="1:12" ht="18" customHeight="1" thickTop="1" x14ac:dyDescent="0.3"/>
    <row r="81" spans="5:11" ht="18" customHeight="1" x14ac:dyDescent="0.3">
      <c r="G81" s="9" t="s">
        <v>306</v>
      </c>
      <c r="K81" s="5"/>
    </row>
    <row r="82" spans="5:11" ht="18" customHeight="1" x14ac:dyDescent="0.45">
      <c r="E82" s="85" t="s">
        <v>30</v>
      </c>
      <c r="F82" s="86">
        <f>C79+H79</f>
        <v>5793141.1200000001</v>
      </c>
      <c r="H82" s="200">
        <f>SUM(F82:G82)</f>
        <v>5793141.1200000001</v>
      </c>
    </row>
    <row r="83" spans="5:11" ht="15.6" customHeight="1" x14ac:dyDescent="0.45">
      <c r="E83" s="85" t="s">
        <v>31</v>
      </c>
      <c r="F83" s="86">
        <f>D79+I79</f>
        <v>837427.73200000008</v>
      </c>
      <c r="G83" s="72"/>
      <c r="H83" s="200">
        <f>F83-G83</f>
        <v>837427.73200000008</v>
      </c>
    </row>
    <row r="84" spans="5:11" ht="15.6" customHeight="1" x14ac:dyDescent="0.45">
      <c r="E84" s="85" t="s">
        <v>3</v>
      </c>
      <c r="F84" s="86">
        <f>SUM(F82:F83)</f>
        <v>6630568.852</v>
      </c>
      <c r="H84" s="200">
        <f>SUM(H82:H83)</f>
        <v>6630568.852</v>
      </c>
    </row>
    <row r="85" spans="5:11" ht="15.6" customHeight="1" x14ac:dyDescent="0.3"/>
    <row r="86" spans="5:11" ht="15.6" customHeight="1" x14ac:dyDescent="0.3"/>
    <row r="87" spans="5:11" ht="15.6" customHeight="1" x14ac:dyDescent="0.3"/>
    <row r="88" spans="5:11" ht="15.6" customHeight="1" x14ac:dyDescent="0.3"/>
    <row r="89" spans="5:11" ht="15.6" customHeight="1" x14ac:dyDescent="0.3"/>
    <row r="90" spans="5:11" ht="15.6" customHeight="1" x14ac:dyDescent="0.3"/>
    <row r="91" spans="5:11" ht="15.6" customHeight="1" x14ac:dyDescent="0.3"/>
    <row r="92" spans="5:11" ht="15.6" customHeight="1" x14ac:dyDescent="0.3"/>
    <row r="93" spans="5:11" ht="15.6" customHeight="1" x14ac:dyDescent="0.3"/>
    <row r="94" spans="5:11" ht="15.6" customHeight="1" x14ac:dyDescent="0.3"/>
  </sheetData>
  <mergeCells count="4">
    <mergeCell ref="A64:E64"/>
    <mergeCell ref="G64:K64"/>
    <mergeCell ref="J30:K30"/>
    <mergeCell ref="J31:K31"/>
  </mergeCells>
  <phoneticPr fontId="30" type="noConversion"/>
  <pageMargins left="0" right="0" top="0.35433070866141736" bottom="0.15748031496062992" header="0.31496062992125984" footer="0.31496062992125984"/>
  <pageSetup paperSize="9" scale="58" fitToHeight="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YÜKLENİCİ ARAÇLARI</vt:lpstr>
      <vt:lpstr>ŞİRKET ARAÇ</vt:lpstr>
      <vt:lpstr>DAĞILIM</vt:lpstr>
      <vt:lpstr>ÖDEME  TOPLAM</vt:lpstr>
      <vt:lpstr>FATURALANDIRMA</vt:lpstr>
      <vt:lpstr>TOPLAM GELİR VE GİDERLER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2026-02-19T10:17:31Z</dcterms:modified>
</cp:coreProperties>
</file>