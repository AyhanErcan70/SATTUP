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ayhan\SATTUP\ui\"/>
    </mc:Choice>
  </mc:AlternateContent>
  <xr:revisionPtr revIDLastSave="0" documentId="13_ncr:1_{BB8F55AE-8047-473F-B5A0-E5BC44EE0E54}" xr6:coauthVersionLast="47" xr6:coauthVersionMax="47" xr10:uidLastSave="{00000000-0000-0000-0000-000000000000}"/>
  <bookViews>
    <workbookView xWindow="-108" yWindow="-108" windowWidth="23256" windowHeight="12456" xr2:uid="{F5867C84-9C83-4FB0-9362-D33CFCD5B644}"/>
  </bookViews>
  <sheets>
    <sheet name="OLAN" sheetId="1" r:id="rId1"/>
    <sheet name="OLMASI İSTENEN" sheetId="2" r:id="rId2"/>
  </sheets>
  <definedNames>
    <definedName name="_xlnm.Print_Area" localSheetId="0">OLAN!$A$1:$AO$24</definedName>
    <definedName name="_xlnm.Print_Area" localSheetId="1">'OLMASI İSTENEN'!$A$1:$AO$24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9" i="2" l="1"/>
  <c r="AL28" i="2"/>
  <c r="AL27" i="2"/>
  <c r="AN27" i="2" s="1"/>
  <c r="AL26" i="2"/>
  <c r="AN26" i="2" s="1"/>
  <c r="AL25" i="2"/>
  <c r="AN25" i="2" s="1"/>
  <c r="AM28" i="2" s="1"/>
  <c r="AL24" i="2"/>
  <c r="AN23" i="2"/>
  <c r="AL23" i="2"/>
  <c r="AL22" i="2"/>
  <c r="AN22" i="2" s="1"/>
  <c r="AL21" i="2"/>
  <c r="AN21" i="2" s="1"/>
  <c r="AL20" i="2"/>
  <c r="AN20" i="2" s="1"/>
  <c r="AL18" i="2" a="1"/>
  <c r="AL18" i="2" s="1"/>
  <c r="AN18" i="2" s="1"/>
  <c r="AL16" i="2"/>
  <c r="AN16" i="2" s="1"/>
  <c r="AN14" i="2"/>
  <c r="AL14" i="2"/>
  <c r="AL13" i="2"/>
  <c r="AL12" i="2"/>
  <c r="AN12" i="2" s="1"/>
  <c r="AL11" i="2"/>
  <c r="AN11" i="2" s="1"/>
  <c r="AN10" i="2"/>
  <c r="AL10" i="2"/>
  <c r="AN9" i="2"/>
  <c r="AL9" i="2"/>
  <c r="AN33" i="2" s="1"/>
  <c r="AL7" i="2" a="1"/>
  <c r="AL7" i="2" s="1"/>
  <c r="AN7" i="2" s="1"/>
  <c r="AL5" i="2"/>
  <c r="AN5" i="2" s="1"/>
  <c r="AL3" i="2"/>
  <c r="AN3" i="2" s="1"/>
  <c r="AL3" i="1"/>
  <c r="AN3" i="1" s="1"/>
  <c r="AL5" i="1"/>
  <c r="AN5" i="1" s="1"/>
  <c r="AL7" i="1" a="1"/>
  <c r="AL7" i="1" s="1"/>
  <c r="AL9" i="1"/>
  <c r="AN9" i="1"/>
  <c r="AL10" i="1"/>
  <c r="AN10" i="1"/>
  <c r="AL11" i="1"/>
  <c r="AN11" i="1"/>
  <c r="AL12" i="1"/>
  <c r="AN12" i="1" s="1"/>
  <c r="AL13" i="1"/>
  <c r="AL14" i="1"/>
  <c r="AN14" i="1"/>
  <c r="AL16" i="1"/>
  <c r="AN16" i="1"/>
  <c r="AL18" i="1" a="1"/>
  <c r="AL18" i="1" s="1"/>
  <c r="AN18" i="1" s="1"/>
  <c r="AL20" i="1"/>
  <c r="AN20" i="1" s="1"/>
  <c r="AL21" i="1"/>
  <c r="AN21" i="1" s="1"/>
  <c r="AL22" i="1"/>
  <c r="AN22" i="1"/>
  <c r="AL23" i="1"/>
  <c r="AN23" i="1"/>
  <c r="AL24" i="1"/>
  <c r="AL25" i="1"/>
  <c r="AN25" i="1" s="1"/>
  <c r="AM28" i="1" s="1"/>
  <c r="AL26" i="1"/>
  <c r="AN26" i="1"/>
  <c r="AL27" i="1"/>
  <c r="AN27" i="1"/>
  <c r="AL28" i="1"/>
  <c r="AL29" i="1" s="1"/>
  <c r="AN33" i="1"/>
  <c r="AM13" i="2" l="1"/>
  <c r="AM24" i="2"/>
  <c r="AM29" i="2" s="1"/>
  <c r="AN32" i="2"/>
  <c r="AM13" i="1"/>
  <c r="AM24" i="1"/>
  <c r="AM29" i="1" s="1"/>
  <c r="AN32" i="1"/>
  <c r="AN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<sst xmlns="http://schemas.openxmlformats.org/spreadsheetml/2006/main" count="122" uniqueCount="26">
  <si>
    <t>TEK SERVİS TOPLAMI</t>
  </si>
  <si>
    <t>ÇİFT SERVİS TOPLAMI</t>
  </si>
  <si>
    <t>GENEL TOPLAM</t>
  </si>
  <si>
    <t>TOPLAMLAR</t>
  </si>
  <si>
    <t>TEK SERVİS</t>
  </si>
  <si>
    <t>NEVZAT KARA</t>
  </si>
  <si>
    <t>54 S 0858 (17)</t>
  </si>
  <si>
    <t>ADAPAZARI 3  SERDİVAN</t>
  </si>
  <si>
    <t>MUHARREM VİDİN</t>
  </si>
  <si>
    <t>54 S 0813 (16)</t>
  </si>
  <si>
    <t>ADAPAZARI 2 K.TERMİNAL - GÜNEŞLER</t>
  </si>
  <si>
    <t>ÇİFT SERVİS</t>
  </si>
  <si>
    <t>20.00</t>
  </si>
  <si>
    <t>ALİ ARSLAN</t>
  </si>
  <si>
    <t>54 S 0855 (16)</t>
  </si>
  <si>
    <t>ADAPAZARI 1 YAZLIK - ŞEKER- ERENLER</t>
  </si>
  <si>
    <t>TOPLAM</t>
  </si>
  <si>
    <t>FİYAT</t>
  </si>
  <si>
    <t>GİRİŞ ÇIKIŞ SAATLERİ</t>
  </si>
  <si>
    <t>HAREKET TÜRÜ</t>
  </si>
  <si>
    <t>ŞOFÖR</t>
  </si>
  <si>
    <t>ARAÇ + KPST</t>
  </si>
  <si>
    <t>GÜZERGAH</t>
  </si>
  <si>
    <t>S. NO</t>
  </si>
  <si>
    <t>55 S 0858 (17)</t>
  </si>
  <si>
    <t>56 S 0858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</si>
</sst>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₺&quot;"/>
    <numFmt numFmtId="165" formatCode="hh:mm;@"/>
  </numFmts>
  <fonts count="12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2"/>
      <color rgb="FFFF0000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Times New Roman"/>
      <family val="1"/>
      <charset val="162"/>
    </font>
    <font>
      <b/>
      <sz val="9"/>
      <name val="Calibri"/>
      <family val="2"/>
      <charset val="162"/>
      <scheme val="minor"/>
    </font>
    <font>
      <b/>
      <sz val="14"/>
      <color theme="1"/>
      <name val="Times New Roman"/>
      <family val="1"/>
      <charset val="162"/>
    </font>
    <font>
      <sz val="8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1" fontId="2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/>
    </xf>
    <xf numFmtId="1" fontId="5" fillId="4" borderId="4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center" vertical="top"/>
    </xf>
    <xf numFmtId="1" fontId="6" fillId="2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20" fontId="6" fillId="2" borderId="1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20" fontId="7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right"/>
    </xf>
    <xf numFmtId="0" fontId="2" fillId="4" borderId="11" xfId="0" applyFont="1" applyFill="1" applyBorder="1" applyAlignment="1">
      <alignment horizontal="right"/>
    </xf>
    <xf numFmtId="0" fontId="2" fillId="4" borderId="9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20" fontId="7" fillId="2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164" fontId="3" fillId="3" borderId="3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20" fontId="7" fillId="2" borderId="4" xfId="0" applyNumberFormat="1" applyFont="1" applyFill="1" applyBorder="1" applyAlignment="1">
      <alignment horizontal="center" vertical="center" wrapText="1"/>
    </xf>
    <xf numFmtId="20" fontId="7" fillId="2" borderId="6" xfId="0" applyNumberFormat="1" applyFont="1" applyFill="1" applyBorder="1" applyAlignment="1">
      <alignment horizontal="center" vertical="center" wrapText="1"/>
    </xf>
    <xf numFmtId="20" fontId="7" fillId="2" borderId="5" xfId="0" applyNumberFormat="1" applyFont="1" applyFill="1" applyBorder="1" applyAlignment="1">
      <alignment horizontal="center" vertical="center" wrapText="1"/>
    </xf>
    <xf numFmtId="20" fontId="7" fillId="2" borderId="4" xfId="0" applyNumberFormat="1" applyFont="1" applyFill="1" applyBorder="1" applyAlignment="1">
      <alignment horizontal="center" vertical="center"/>
    </xf>
    <xf numFmtId="20" fontId="7" fillId="2" borderId="6" xfId="0" applyNumberFormat="1" applyFont="1" applyFill="1" applyBorder="1" applyAlignment="1">
      <alignment horizontal="center" vertical="center"/>
    </xf>
    <xf numFmtId="20" fontId="7" fillId="2" borderId="5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06A7-745C-4759-8134-2389F3F1B137}">
  <sheetPr codeName="Sayfa1"/>
  <dimension ref="A1:AO33"/>
  <sheetViews>
    <sheetView showGridLines="0" tabSelected="1" zoomScale="85" zoomScaleNormal="85" workbookViewId="0">
      <selection activeCell="T10" sqref="T10"/>
    </sheetView>
  </sheetViews>
  <sheetFormatPr defaultColWidth="9.109375" defaultRowHeight="15.6" x14ac:dyDescent="0.3"/>
  <cols>
    <col min="1" max="1" width="4.6640625" style="1" customWidth="1"/>
    <col min="2" max="2" width="18.77734375" style="1" customWidth="1"/>
    <col min="3" max="3" width="14" style="1" customWidth="1"/>
    <col min="4" max="4" width="17.88671875" style="1" customWidth="1"/>
    <col min="5" max="5" width="15.21875" style="1" customWidth="1"/>
    <col min="6" max="6" width="11.109375" style="1" customWidth="1"/>
    <col min="7" max="37" width="3.5546875" style="1" customWidth="1"/>
    <col min="38" max="38" width="8.77734375" style="1" customWidth="1"/>
    <col min="39" max="39" width="12.77734375" style="1" customWidth="1"/>
    <col min="40" max="40" width="15.6640625" style="1" customWidth="1"/>
    <col min="41" max="16384" width="9.109375" style="1"/>
  </cols>
  <sheetData>
    <row r="1" spans="1:41" ht="19.5" customHeight="1" thickBot="1" x14ac:dyDescent="0.35"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</row>
    <row r="2" spans="1:41" ht="31.8" customHeight="1" thickBot="1" x14ac:dyDescent="0.35">
      <c r="A2" s="23" t="s">
        <v>23</v>
      </c>
      <c r="B2" s="20" t="s">
        <v>22</v>
      </c>
      <c r="C2" s="22" t="s">
        <v>21</v>
      </c>
      <c r="D2" s="20" t="s">
        <v>20</v>
      </c>
      <c r="E2" s="22" t="s">
        <v>19</v>
      </c>
      <c r="F2" s="21" t="s">
        <v>18</v>
      </c>
      <c r="G2" s="19">
        <v>1</v>
      </c>
      <c r="H2" s="20">
        <v>2</v>
      </c>
      <c r="I2" s="19">
        <v>3</v>
      </c>
      <c r="J2" s="19">
        <v>4</v>
      </c>
      <c r="K2" s="20">
        <v>5</v>
      </c>
      <c r="L2" s="20">
        <v>6</v>
      </c>
      <c r="M2" s="20">
        <v>7</v>
      </c>
      <c r="N2" s="20">
        <v>8</v>
      </c>
      <c r="O2" s="20">
        <v>9</v>
      </c>
      <c r="P2" s="19">
        <v>10</v>
      </c>
      <c r="Q2" s="19">
        <v>11</v>
      </c>
      <c r="R2" s="20">
        <v>12</v>
      </c>
      <c r="S2" s="20">
        <v>13</v>
      </c>
      <c r="T2" s="20">
        <v>14</v>
      </c>
      <c r="U2" s="20">
        <v>15</v>
      </c>
      <c r="V2" s="20">
        <v>16</v>
      </c>
      <c r="W2" s="19">
        <v>17</v>
      </c>
      <c r="X2" s="19">
        <v>18</v>
      </c>
      <c r="Y2" s="20">
        <v>19</v>
      </c>
      <c r="Z2" s="20">
        <v>20</v>
      </c>
      <c r="AA2" s="20">
        <v>21</v>
      </c>
      <c r="AB2" s="20">
        <v>22</v>
      </c>
      <c r="AC2" s="20">
        <v>23</v>
      </c>
      <c r="AD2" s="19">
        <v>24</v>
      </c>
      <c r="AE2" s="19">
        <v>25</v>
      </c>
      <c r="AF2" s="20">
        <v>26</v>
      </c>
      <c r="AG2" s="20">
        <v>27</v>
      </c>
      <c r="AH2" s="20">
        <v>28</v>
      </c>
      <c r="AI2" s="20">
        <v>29</v>
      </c>
      <c r="AJ2" s="20">
        <v>30</v>
      </c>
      <c r="AK2" s="19">
        <v>31</v>
      </c>
      <c r="AL2" s="18" t="s">
        <v>16</v>
      </c>
      <c r="AM2" s="18" t="s">
        <v>17</v>
      </c>
      <c r="AN2" s="18" t="s">
        <v>16</v>
      </c>
      <c r="AO2"/>
    </row>
    <row r="3" spans="1:41" ht="16.2" customHeight="1" thickBot="1" x14ac:dyDescent="0.35">
      <c r="A3" s="32">
        <v>1</v>
      </c>
      <c r="B3" s="33" t="s">
        <v>15</v>
      </c>
      <c r="C3" s="24" t="s">
        <v>14</v>
      </c>
      <c r="D3" s="24" t="s">
        <v>13</v>
      </c>
      <c r="E3" s="24" t="s">
        <v>11</v>
      </c>
      <c r="F3" s="15">
        <v>0.33333333333333331</v>
      </c>
      <c r="G3" s="10"/>
      <c r="H3" s="9"/>
      <c r="I3" s="10"/>
      <c r="J3" s="10"/>
      <c r="K3" s="9">
        <v>1</v>
      </c>
      <c r="L3" s="9">
        <v>1</v>
      </c>
      <c r="M3" s="9"/>
      <c r="N3" s="9"/>
      <c r="O3" s="9"/>
      <c r="P3" s="10"/>
      <c r="Q3" s="10"/>
      <c r="R3" s="9">
        <v>1</v>
      </c>
      <c r="S3" s="9">
        <v>1</v>
      </c>
      <c r="T3" s="9">
        <v>1</v>
      </c>
      <c r="U3" s="9">
        <v>1</v>
      </c>
      <c r="V3" s="9">
        <v>1</v>
      </c>
      <c r="W3" s="10">
        <v>1</v>
      </c>
      <c r="X3" s="10"/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10"/>
      <c r="AE3" s="10"/>
      <c r="AF3" s="9"/>
      <c r="AG3" s="9"/>
      <c r="AH3" s="9"/>
      <c r="AI3" s="9"/>
      <c r="AJ3" s="9"/>
      <c r="AK3" s="10"/>
      <c r="AL3" s="28">
        <f>SUM(G3:AK4)/2</f>
        <v>13</v>
      </c>
      <c r="AM3" s="25">
        <v>2250</v>
      </c>
      <c r="AN3" s="25">
        <f>AL3*AM3</f>
        <v>29250</v>
      </c>
      <c r="AO3"/>
    </row>
    <row r="4" spans="1:41" ht="15" customHeight="1" thickBot="1" x14ac:dyDescent="0.35">
      <c r="A4" s="32"/>
      <c r="B4" s="33"/>
      <c r="C4" s="24" t="s">
        <v>14</v>
      </c>
      <c r="D4" s="24" t="s">
        <v>13</v>
      </c>
      <c r="E4" s="24" t="s">
        <v>11</v>
      </c>
      <c r="F4" s="15">
        <v>0.34375</v>
      </c>
      <c r="G4" s="10"/>
      <c r="H4" s="9"/>
      <c r="I4" s="10"/>
      <c r="J4" s="10"/>
      <c r="K4" s="9">
        <v>1</v>
      </c>
      <c r="L4" s="9">
        <v>1</v>
      </c>
      <c r="M4" s="9"/>
      <c r="N4" s="9"/>
      <c r="O4" s="9"/>
      <c r="P4" s="10"/>
      <c r="Q4" s="10"/>
      <c r="R4" s="9">
        <v>1</v>
      </c>
      <c r="S4" s="9">
        <v>1</v>
      </c>
      <c r="T4" s="9">
        <v>1</v>
      </c>
      <c r="U4" s="9">
        <v>1</v>
      </c>
      <c r="V4" s="9">
        <v>1</v>
      </c>
      <c r="W4" s="10">
        <v>1</v>
      </c>
      <c r="X4" s="10"/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10"/>
      <c r="AE4" s="10"/>
      <c r="AF4" s="9"/>
      <c r="AG4" s="9"/>
      <c r="AH4" s="9"/>
      <c r="AI4" s="9"/>
      <c r="AJ4" s="9"/>
      <c r="AK4" s="10"/>
      <c r="AL4" s="28"/>
      <c r="AM4" s="25"/>
      <c r="AN4" s="25"/>
      <c r="AO4"/>
    </row>
    <row r="5" spans="1:41" ht="15" customHeight="1" thickBot="1" x14ac:dyDescent="0.35">
      <c r="A5" s="32"/>
      <c r="B5" s="33"/>
      <c r="C5" s="24" t="s">
        <v>14</v>
      </c>
      <c r="D5" s="24" t="s">
        <v>13</v>
      </c>
      <c r="E5" s="24" t="s">
        <v>11</v>
      </c>
      <c r="F5" s="15">
        <v>0.66666666666666663</v>
      </c>
      <c r="G5" s="10"/>
      <c r="H5" s="9"/>
      <c r="I5" s="10"/>
      <c r="J5" s="10"/>
      <c r="K5" s="9"/>
      <c r="L5" s="9"/>
      <c r="M5" s="9">
        <v>1</v>
      </c>
      <c r="N5" s="9">
        <v>1</v>
      </c>
      <c r="O5" s="9">
        <v>1</v>
      </c>
      <c r="P5" s="10">
        <v>1</v>
      </c>
      <c r="Q5" s="10"/>
      <c r="R5" s="9"/>
      <c r="S5" s="9"/>
      <c r="T5" s="9"/>
      <c r="U5" s="9"/>
      <c r="V5" s="9"/>
      <c r="W5" s="10"/>
      <c r="X5" s="10"/>
      <c r="Y5" s="9"/>
      <c r="Z5" s="9"/>
      <c r="AA5" s="9"/>
      <c r="AB5" s="9"/>
      <c r="AC5" s="9"/>
      <c r="AD5" s="10"/>
      <c r="AE5" s="10"/>
      <c r="AF5" s="9">
        <v>1</v>
      </c>
      <c r="AG5" s="9">
        <v>1</v>
      </c>
      <c r="AH5" s="9"/>
      <c r="AI5" s="9"/>
      <c r="AJ5" s="9"/>
      <c r="AK5" s="10"/>
      <c r="AL5" s="28">
        <f>SUM(G5:AK6)/2</f>
        <v>6</v>
      </c>
      <c r="AM5" s="25">
        <v>2250</v>
      </c>
      <c r="AN5" s="25">
        <f>AL5*AM5</f>
        <v>13500</v>
      </c>
      <c r="AO5"/>
    </row>
    <row r="6" spans="1:41" ht="15" customHeight="1" thickBot="1" x14ac:dyDescent="0.35">
      <c r="A6" s="32"/>
      <c r="B6" s="33"/>
      <c r="C6" s="24" t="s">
        <v>14</v>
      </c>
      <c r="D6" s="24" t="s">
        <v>13</v>
      </c>
      <c r="E6" s="24" t="s">
        <v>11</v>
      </c>
      <c r="F6" s="15">
        <v>0.67708333333333337</v>
      </c>
      <c r="G6" s="10"/>
      <c r="H6" s="9"/>
      <c r="I6" s="10"/>
      <c r="J6" s="10"/>
      <c r="K6" s="9"/>
      <c r="L6" s="9"/>
      <c r="M6" s="9">
        <v>1</v>
      </c>
      <c r="N6" s="9">
        <v>1</v>
      </c>
      <c r="O6" s="9">
        <v>1</v>
      </c>
      <c r="P6" s="10">
        <v>1</v>
      </c>
      <c r="Q6" s="10"/>
      <c r="R6" s="9"/>
      <c r="S6" s="9"/>
      <c r="T6" s="9"/>
      <c r="U6" s="9"/>
      <c r="V6" s="9"/>
      <c r="W6" s="10"/>
      <c r="X6" s="10"/>
      <c r="Y6" s="9"/>
      <c r="Z6" s="9"/>
      <c r="AA6" s="9"/>
      <c r="AB6" s="9"/>
      <c r="AC6" s="9"/>
      <c r="AD6" s="10"/>
      <c r="AE6" s="10"/>
      <c r="AF6" s="9">
        <v>1</v>
      </c>
      <c r="AG6" s="9">
        <v>1</v>
      </c>
      <c r="AH6" s="9"/>
      <c r="AI6" s="9"/>
      <c r="AJ6" s="9"/>
      <c r="AK6" s="10"/>
      <c r="AL6" s="28"/>
      <c r="AM6" s="25"/>
      <c r="AN6" s="25"/>
      <c r="AO6"/>
    </row>
    <row r="7" spans="1:41" ht="15" customHeight="1" thickBot="1" x14ac:dyDescent="0.35">
      <c r="A7" s="32"/>
      <c r="B7" s="33"/>
      <c r="C7" s="24" t="s">
        <v>14</v>
      </c>
      <c r="D7" s="24" t="s">
        <v>13</v>
      </c>
      <c r="E7" s="24" t="s">
        <v>11</v>
      </c>
      <c r="F7" s="15" t="s">
        <v>12</v>
      </c>
      <c r="G7" s="10"/>
      <c r="H7" s="9"/>
      <c r="I7" s="10"/>
      <c r="J7" s="10"/>
      <c r="K7" s="9">
        <v>1</v>
      </c>
      <c r="L7" s="9">
        <v>1</v>
      </c>
      <c r="M7" s="9"/>
      <c r="N7" s="9"/>
      <c r="O7" s="9"/>
      <c r="P7" s="10"/>
      <c r="Q7" s="10"/>
      <c r="R7" s="9">
        <v>1</v>
      </c>
      <c r="S7" s="9">
        <v>1</v>
      </c>
      <c r="T7" s="9"/>
      <c r="U7" s="9"/>
      <c r="V7" s="9"/>
      <c r="W7" s="10"/>
      <c r="X7" s="10"/>
      <c r="Y7" s="9"/>
      <c r="Z7" s="9"/>
      <c r="AA7" s="9"/>
      <c r="AB7" s="9"/>
      <c r="AC7" s="9"/>
      <c r="AD7" s="10"/>
      <c r="AE7" s="10"/>
      <c r="AF7" s="9"/>
      <c r="AG7" s="9"/>
      <c r="AH7" s="9"/>
      <c r="AI7" s="9"/>
      <c r="AJ7" s="9"/>
      <c r="AK7" s="10"/>
      <c r="AL7" s="28" cm="1">
        <f t="array" ref="AL7">SUM(G7:AK8/2)</f>
        <v>4</v>
      </c>
      <c r="AM7" s="25">
        <v>2250</v>
      </c>
      <c r="AN7" s="25">
        <f>AL7*AM7</f>
        <v>9000</v>
      </c>
      <c r="AO7"/>
    </row>
    <row r="8" spans="1:41" ht="15" customHeight="1" thickBot="1" x14ac:dyDescent="0.35">
      <c r="A8" s="32"/>
      <c r="B8" s="33"/>
      <c r="C8" s="24" t="s">
        <v>14</v>
      </c>
      <c r="D8" s="24" t="s">
        <v>13</v>
      </c>
      <c r="E8" s="24" t="s">
        <v>11</v>
      </c>
      <c r="F8" s="15">
        <v>0.84375</v>
      </c>
      <c r="G8" s="10"/>
      <c r="H8" s="9"/>
      <c r="I8" s="10"/>
      <c r="J8" s="10"/>
      <c r="K8" s="9">
        <v>1</v>
      </c>
      <c r="L8" s="9">
        <v>1</v>
      </c>
      <c r="M8" s="9"/>
      <c r="N8" s="9"/>
      <c r="O8" s="9"/>
      <c r="P8" s="10"/>
      <c r="Q8" s="10"/>
      <c r="R8" s="9">
        <v>1</v>
      </c>
      <c r="S8" s="9">
        <v>1</v>
      </c>
      <c r="T8" s="9"/>
      <c r="U8" s="9"/>
      <c r="V8" s="9"/>
      <c r="W8" s="10"/>
      <c r="X8" s="10"/>
      <c r="Y8" s="9"/>
      <c r="Z8" s="9"/>
      <c r="AA8" s="9"/>
      <c r="AB8" s="9"/>
      <c r="AC8" s="9"/>
      <c r="AD8" s="10"/>
      <c r="AE8" s="10"/>
      <c r="AF8" s="9"/>
      <c r="AG8" s="9"/>
      <c r="AH8" s="9"/>
      <c r="AI8" s="9"/>
      <c r="AJ8" s="9"/>
      <c r="AK8" s="10"/>
      <c r="AL8" s="28"/>
      <c r="AM8" s="25"/>
      <c r="AN8" s="25"/>
      <c r="AO8"/>
    </row>
    <row r="9" spans="1:41" ht="16.2" customHeight="1" thickBot="1" x14ac:dyDescent="0.35">
      <c r="A9" s="32">
        <v>2</v>
      </c>
      <c r="B9" s="33" t="s">
        <v>15</v>
      </c>
      <c r="C9" s="24" t="s">
        <v>14</v>
      </c>
      <c r="D9" s="24" t="s">
        <v>13</v>
      </c>
      <c r="E9" s="24" t="s">
        <v>4</v>
      </c>
      <c r="F9" s="11">
        <v>0.33333333333333331</v>
      </c>
      <c r="G9" s="10"/>
      <c r="H9" s="9"/>
      <c r="I9" s="10"/>
      <c r="J9" s="10"/>
      <c r="K9" s="9"/>
      <c r="L9" s="9"/>
      <c r="M9" s="9">
        <v>1</v>
      </c>
      <c r="N9" s="9">
        <v>1</v>
      </c>
      <c r="O9" s="9">
        <v>1</v>
      </c>
      <c r="P9" s="10">
        <v>1</v>
      </c>
      <c r="Q9" s="10"/>
      <c r="R9" s="9"/>
      <c r="S9" s="9"/>
      <c r="T9" s="9"/>
      <c r="U9" s="9"/>
      <c r="V9" s="9"/>
      <c r="W9" s="10"/>
      <c r="X9" s="10"/>
      <c r="Y9" s="9"/>
      <c r="Z9" s="9"/>
      <c r="AA9" s="9"/>
      <c r="AB9" s="9"/>
      <c r="AC9" s="9"/>
      <c r="AD9" s="10"/>
      <c r="AE9" s="10"/>
      <c r="AF9" s="9">
        <v>1</v>
      </c>
      <c r="AG9" s="9">
        <v>1</v>
      </c>
      <c r="AH9" s="9"/>
      <c r="AI9" s="9"/>
      <c r="AJ9" s="9"/>
      <c r="AK9" s="10"/>
      <c r="AL9" s="7">
        <f>SUM(G9:AK9)</f>
        <v>6</v>
      </c>
      <c r="AM9" s="6">
        <v>2150</v>
      </c>
      <c r="AN9" s="5">
        <f>AL9*AM9</f>
        <v>12900</v>
      </c>
      <c r="AO9"/>
    </row>
    <row r="10" spans="1:41" ht="16.2" thickBot="1" x14ac:dyDescent="0.35">
      <c r="A10" s="32"/>
      <c r="B10" s="33"/>
      <c r="C10" s="24" t="s">
        <v>14</v>
      </c>
      <c r="D10" s="24" t="s">
        <v>13</v>
      </c>
      <c r="E10" s="24" t="s">
        <v>4</v>
      </c>
      <c r="F10" s="11">
        <v>0.66666666666666663</v>
      </c>
      <c r="G10" s="10"/>
      <c r="H10" s="9"/>
      <c r="I10" s="10"/>
      <c r="J10" s="10"/>
      <c r="K10" s="9"/>
      <c r="L10" s="9"/>
      <c r="M10" s="9"/>
      <c r="N10" s="9"/>
      <c r="O10" s="9"/>
      <c r="P10" s="10"/>
      <c r="Q10" s="10"/>
      <c r="R10" s="9"/>
      <c r="S10" s="9"/>
      <c r="T10" s="9">
        <v>1</v>
      </c>
      <c r="U10" s="9">
        <v>1</v>
      </c>
      <c r="V10" s="9">
        <v>1</v>
      </c>
      <c r="W10" s="10">
        <v>1</v>
      </c>
      <c r="X10" s="10"/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10"/>
      <c r="AE10" s="10"/>
      <c r="AF10" s="9"/>
      <c r="AG10" s="9"/>
      <c r="AH10" s="9">
        <v>1</v>
      </c>
      <c r="AI10" s="9"/>
      <c r="AJ10" s="9"/>
      <c r="AK10" s="10"/>
      <c r="AL10" s="7">
        <f>SUM(G10:AK10)</f>
        <v>10</v>
      </c>
      <c r="AM10" s="6">
        <v>2150</v>
      </c>
      <c r="AN10" s="5">
        <f>AL10*AM10</f>
        <v>21500</v>
      </c>
      <c r="AO10"/>
    </row>
    <row r="11" spans="1:41" ht="16.2" thickBot="1" x14ac:dyDescent="0.35">
      <c r="A11" s="32"/>
      <c r="B11" s="33"/>
      <c r="C11" s="24" t="s">
        <v>14</v>
      </c>
      <c r="D11" s="24" t="s">
        <v>13</v>
      </c>
      <c r="E11" s="24" t="s">
        <v>4</v>
      </c>
      <c r="F11" s="11">
        <v>0</v>
      </c>
      <c r="G11" s="10"/>
      <c r="H11" s="9"/>
      <c r="I11" s="10"/>
      <c r="J11" s="10">
        <v>1</v>
      </c>
      <c r="K11" s="9"/>
      <c r="L11" s="9"/>
      <c r="M11" s="9"/>
      <c r="N11" s="9"/>
      <c r="O11" s="9"/>
      <c r="P11" s="10"/>
      <c r="Q11" s="10"/>
      <c r="R11" s="9"/>
      <c r="S11" s="9"/>
      <c r="T11" s="9">
        <v>1</v>
      </c>
      <c r="U11" s="9">
        <v>1</v>
      </c>
      <c r="V11" s="9">
        <v>1</v>
      </c>
      <c r="W11" s="10"/>
      <c r="X11" s="10">
        <v>1</v>
      </c>
      <c r="Y11" s="9">
        <v>1</v>
      </c>
      <c r="Z11" s="9">
        <v>1</v>
      </c>
      <c r="AA11" s="9">
        <v>1</v>
      </c>
      <c r="AB11" s="9">
        <v>1</v>
      </c>
      <c r="AC11" s="9"/>
      <c r="AD11" s="10"/>
      <c r="AE11" s="10"/>
      <c r="AF11" s="9"/>
      <c r="AG11" s="9"/>
      <c r="AH11" s="9"/>
      <c r="AI11" s="9"/>
      <c r="AJ11" s="9"/>
      <c r="AK11" s="8"/>
      <c r="AL11" s="7">
        <f>SUM(G11:AK11)</f>
        <v>9</v>
      </c>
      <c r="AM11" s="6">
        <v>2150</v>
      </c>
      <c r="AN11" s="5">
        <f>AL11*AM11</f>
        <v>19350</v>
      </c>
      <c r="AO11"/>
    </row>
    <row r="12" spans="1:41" ht="16.2" thickBot="1" x14ac:dyDescent="0.35">
      <c r="A12" s="32"/>
      <c r="B12" s="33"/>
      <c r="C12" s="24" t="s">
        <v>14</v>
      </c>
      <c r="D12" s="24" t="s">
        <v>13</v>
      </c>
      <c r="E12" s="24" t="s">
        <v>4</v>
      </c>
      <c r="F12" s="11">
        <v>1.0416666666666666E-2</v>
      </c>
      <c r="G12" s="10"/>
      <c r="H12" s="9"/>
      <c r="I12" s="10"/>
      <c r="J12" s="10"/>
      <c r="K12" s="9"/>
      <c r="L12" s="9"/>
      <c r="M12" s="9">
        <v>1</v>
      </c>
      <c r="N12" s="9">
        <v>1</v>
      </c>
      <c r="O12" s="9">
        <v>1</v>
      </c>
      <c r="P12" s="10"/>
      <c r="Q12" s="10"/>
      <c r="R12" s="9"/>
      <c r="S12" s="9"/>
      <c r="T12" s="9"/>
      <c r="U12" s="9"/>
      <c r="V12" s="9"/>
      <c r="W12" s="10"/>
      <c r="X12" s="10"/>
      <c r="Y12" s="9"/>
      <c r="Z12" s="9"/>
      <c r="AA12" s="9"/>
      <c r="AB12" s="9"/>
      <c r="AC12" s="9"/>
      <c r="AD12" s="10"/>
      <c r="AE12" s="10"/>
      <c r="AF12" s="9">
        <v>1</v>
      </c>
      <c r="AG12" s="9">
        <v>1</v>
      </c>
      <c r="AH12" s="9"/>
      <c r="AI12" s="9"/>
      <c r="AJ12" s="9"/>
      <c r="AK12" s="8"/>
      <c r="AL12" s="7">
        <f>SUM(G12:AK12)</f>
        <v>5</v>
      </c>
      <c r="AM12" s="6">
        <v>2150</v>
      </c>
      <c r="AN12" s="5">
        <f>AL12*AM12</f>
        <v>10750</v>
      </c>
      <c r="AO12"/>
    </row>
    <row r="13" spans="1:41" ht="16.2" thickBot="1" x14ac:dyDescent="0.35">
      <c r="A13" s="29" t="s">
        <v>3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1"/>
      <c r="AL13" s="12">
        <f>SUM(G3:AK12)</f>
        <v>76</v>
      </c>
      <c r="AM13" s="34">
        <f>SUM(AN3:AN12)</f>
        <v>116250</v>
      </c>
      <c r="AN13" s="35"/>
    </row>
    <row r="14" spans="1:41" ht="16.2" customHeight="1" thickBot="1" x14ac:dyDescent="0.35">
      <c r="A14" s="32">
        <v>3</v>
      </c>
      <c r="B14" s="33" t="s">
        <v>10</v>
      </c>
      <c r="C14" s="24" t="s">
        <v>9</v>
      </c>
      <c r="D14" s="24" t="s">
        <v>8</v>
      </c>
      <c r="E14" s="24" t="s">
        <v>11</v>
      </c>
      <c r="F14" s="15">
        <v>0.33333333333333331</v>
      </c>
      <c r="G14" s="10"/>
      <c r="H14" s="9"/>
      <c r="I14" s="10"/>
      <c r="J14" s="10"/>
      <c r="K14" s="9">
        <v>1</v>
      </c>
      <c r="L14" s="9">
        <v>1</v>
      </c>
      <c r="M14" s="9"/>
      <c r="N14" s="9"/>
      <c r="O14" s="9"/>
      <c r="P14" s="10"/>
      <c r="Q14" s="10"/>
      <c r="R14" s="9">
        <v>1</v>
      </c>
      <c r="S14" s="9">
        <v>1</v>
      </c>
      <c r="T14" s="9">
        <v>1</v>
      </c>
      <c r="U14" s="9">
        <v>1</v>
      </c>
      <c r="V14" s="9">
        <v>1</v>
      </c>
      <c r="W14" s="10">
        <v>1</v>
      </c>
      <c r="X14" s="10"/>
      <c r="Y14" s="9">
        <v>1</v>
      </c>
      <c r="Z14" s="9">
        <v>1</v>
      </c>
      <c r="AA14" s="9">
        <v>1</v>
      </c>
      <c r="AB14" s="9">
        <v>1</v>
      </c>
      <c r="AC14" s="9">
        <v>1</v>
      </c>
      <c r="AD14" s="10"/>
      <c r="AE14" s="10"/>
      <c r="AF14" s="9"/>
      <c r="AG14" s="9"/>
      <c r="AH14" s="9"/>
      <c r="AI14" s="9"/>
      <c r="AJ14" s="9"/>
      <c r="AK14" s="10"/>
      <c r="AL14" s="28">
        <f>SUM(G14:AK15)/2</f>
        <v>13</v>
      </c>
      <c r="AM14" s="25">
        <v>2250</v>
      </c>
      <c r="AN14" s="25">
        <f>AL14*AM14</f>
        <v>29250</v>
      </c>
    </row>
    <row r="15" spans="1:41" ht="16.2" thickBot="1" x14ac:dyDescent="0.35">
      <c r="A15" s="32"/>
      <c r="B15" s="33"/>
      <c r="C15" s="24" t="s">
        <v>9</v>
      </c>
      <c r="D15" s="24" t="s">
        <v>8</v>
      </c>
      <c r="E15" s="24" t="s">
        <v>11</v>
      </c>
      <c r="F15" s="15">
        <v>0.34375</v>
      </c>
      <c r="G15" s="10"/>
      <c r="H15" s="9"/>
      <c r="I15" s="10"/>
      <c r="J15" s="10"/>
      <c r="K15" s="9">
        <v>1</v>
      </c>
      <c r="L15" s="9">
        <v>1</v>
      </c>
      <c r="M15" s="9"/>
      <c r="N15" s="9"/>
      <c r="O15" s="9"/>
      <c r="P15" s="10"/>
      <c r="Q15" s="10"/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10">
        <v>1</v>
      </c>
      <c r="X15" s="10"/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10"/>
      <c r="AE15" s="10"/>
      <c r="AF15" s="9"/>
      <c r="AG15" s="9"/>
      <c r="AH15" s="9"/>
      <c r="AI15" s="9"/>
      <c r="AJ15" s="9"/>
      <c r="AK15" s="10"/>
      <c r="AL15" s="28"/>
      <c r="AM15" s="25"/>
      <c r="AN15" s="25"/>
    </row>
    <row r="16" spans="1:41" ht="16.2" thickBot="1" x14ac:dyDescent="0.35">
      <c r="A16" s="32"/>
      <c r="B16" s="33"/>
      <c r="C16" s="24" t="s">
        <v>9</v>
      </c>
      <c r="D16" s="24" t="s">
        <v>8</v>
      </c>
      <c r="E16" s="24" t="s">
        <v>11</v>
      </c>
      <c r="F16" s="15">
        <v>0.66666666666666663</v>
      </c>
      <c r="G16" s="10"/>
      <c r="H16" s="9"/>
      <c r="I16" s="10"/>
      <c r="J16" s="10"/>
      <c r="K16" s="9"/>
      <c r="L16" s="9"/>
      <c r="M16" s="9">
        <v>1</v>
      </c>
      <c r="N16" s="9">
        <v>1</v>
      </c>
      <c r="O16" s="9">
        <v>1</v>
      </c>
      <c r="P16" s="10"/>
      <c r="Q16" s="10"/>
      <c r="R16" s="9"/>
      <c r="S16" s="9"/>
      <c r="T16" s="9"/>
      <c r="U16" s="9"/>
      <c r="V16" s="9"/>
      <c r="W16" s="10"/>
      <c r="X16" s="10"/>
      <c r="Y16" s="9"/>
      <c r="Z16" s="9"/>
      <c r="AA16" s="9"/>
      <c r="AB16" s="9"/>
      <c r="AC16" s="9"/>
      <c r="AD16" s="10"/>
      <c r="AE16" s="10"/>
      <c r="AF16" s="9">
        <v>1</v>
      </c>
      <c r="AG16" s="9">
        <v>1</v>
      </c>
      <c r="AH16" s="9"/>
      <c r="AI16" s="9"/>
      <c r="AJ16" s="9"/>
      <c r="AK16" s="10"/>
      <c r="AL16" s="28">
        <f>SUM(G16:AK17)/2</f>
        <v>5</v>
      </c>
      <c r="AM16" s="25">
        <v>2250</v>
      </c>
      <c r="AN16" s="25">
        <f>AL16*AM16</f>
        <v>11250</v>
      </c>
    </row>
    <row r="17" spans="1:41" ht="16.2" thickBot="1" x14ac:dyDescent="0.35">
      <c r="A17" s="32"/>
      <c r="B17" s="33"/>
      <c r="C17" s="24" t="s">
        <v>9</v>
      </c>
      <c r="D17" s="24" t="s">
        <v>8</v>
      </c>
      <c r="E17" s="24" t="s">
        <v>11</v>
      </c>
      <c r="F17" s="15">
        <v>0.67708333333333337</v>
      </c>
      <c r="G17" s="10"/>
      <c r="H17" s="9"/>
      <c r="I17" s="10"/>
      <c r="J17" s="10"/>
      <c r="K17" s="16"/>
      <c r="L17" s="16"/>
      <c r="M17" s="16">
        <v>1</v>
      </c>
      <c r="N17" s="16">
        <v>1</v>
      </c>
      <c r="O17" s="16">
        <v>1</v>
      </c>
      <c r="P17" s="17"/>
      <c r="Q17" s="17"/>
      <c r="R17" s="16"/>
      <c r="S17" s="16"/>
      <c r="T17" s="16"/>
      <c r="U17" s="16"/>
      <c r="V17" s="9"/>
      <c r="W17" s="10"/>
      <c r="X17" s="10"/>
      <c r="Y17" s="9"/>
      <c r="Z17" s="9"/>
      <c r="AA17" s="9"/>
      <c r="AB17" s="9"/>
      <c r="AC17" s="9"/>
      <c r="AD17" s="10"/>
      <c r="AE17" s="10"/>
      <c r="AF17" s="9">
        <v>1</v>
      </c>
      <c r="AG17" s="9">
        <v>1</v>
      </c>
      <c r="AH17" s="9"/>
      <c r="AI17" s="9"/>
      <c r="AJ17" s="9"/>
      <c r="AK17" s="10"/>
      <c r="AL17" s="28"/>
      <c r="AM17" s="25"/>
      <c r="AN17" s="25"/>
    </row>
    <row r="18" spans="1:41" ht="16.2" thickBot="1" x14ac:dyDescent="0.35">
      <c r="A18" s="32"/>
      <c r="B18" s="33"/>
      <c r="C18" s="24" t="s">
        <v>9</v>
      </c>
      <c r="D18" s="24" t="s">
        <v>8</v>
      </c>
      <c r="E18" s="24" t="s">
        <v>11</v>
      </c>
      <c r="F18" s="15" t="s">
        <v>12</v>
      </c>
      <c r="G18" s="10"/>
      <c r="H18" s="9"/>
      <c r="I18" s="10"/>
      <c r="J18" s="10"/>
      <c r="K18" s="13">
        <v>1</v>
      </c>
      <c r="L18" s="13">
        <v>1</v>
      </c>
      <c r="M18" s="13"/>
      <c r="N18" s="13"/>
      <c r="O18" s="13"/>
      <c r="P18" s="14"/>
      <c r="Q18" s="14"/>
      <c r="R18" s="13">
        <v>1</v>
      </c>
      <c r="S18" s="13">
        <v>1</v>
      </c>
      <c r="T18" s="9"/>
      <c r="U18" s="9"/>
      <c r="V18" s="9"/>
      <c r="W18" s="10"/>
      <c r="X18" s="10"/>
      <c r="Y18" s="9"/>
      <c r="Z18" s="9"/>
      <c r="AA18" s="9"/>
      <c r="AB18" s="9"/>
      <c r="AC18" s="9"/>
      <c r="AD18" s="10"/>
      <c r="AE18" s="10"/>
      <c r="AF18" s="9"/>
      <c r="AG18" s="9"/>
      <c r="AH18" s="9"/>
      <c r="AI18" s="9"/>
      <c r="AJ18" s="9"/>
      <c r="AK18" s="10"/>
      <c r="AL18" s="28" cm="1">
        <f t="array" ref="AL18">SUM(G18:AK19/2)</f>
        <v>4</v>
      </c>
      <c r="AM18" s="25">
        <v>2250</v>
      </c>
      <c r="AN18" s="25">
        <f>AL18*AM18</f>
        <v>9000</v>
      </c>
    </row>
    <row r="19" spans="1:41" ht="16.2" thickBot="1" x14ac:dyDescent="0.35">
      <c r="A19" s="32"/>
      <c r="B19" s="33"/>
      <c r="C19" s="24" t="s">
        <v>9</v>
      </c>
      <c r="D19" s="24" t="s">
        <v>8</v>
      </c>
      <c r="E19" s="24" t="s">
        <v>11</v>
      </c>
      <c r="F19" s="15">
        <v>0.84375</v>
      </c>
      <c r="G19" s="10"/>
      <c r="H19" s="9"/>
      <c r="I19" s="10"/>
      <c r="J19" s="10"/>
      <c r="K19" s="13">
        <v>1</v>
      </c>
      <c r="L19" s="13">
        <v>1</v>
      </c>
      <c r="M19" s="13"/>
      <c r="N19" s="13"/>
      <c r="O19" s="13"/>
      <c r="P19" s="14"/>
      <c r="Q19" s="14"/>
      <c r="R19" s="13">
        <v>1</v>
      </c>
      <c r="S19" s="13">
        <v>1</v>
      </c>
      <c r="T19" s="9"/>
      <c r="U19" s="9"/>
      <c r="V19" s="9"/>
      <c r="W19" s="10"/>
      <c r="X19" s="10"/>
      <c r="Y19" s="9"/>
      <c r="Z19" s="9"/>
      <c r="AA19" s="9"/>
      <c r="AB19" s="9"/>
      <c r="AC19" s="9"/>
      <c r="AD19" s="10"/>
      <c r="AE19" s="10"/>
      <c r="AF19" s="9"/>
      <c r="AG19" s="9"/>
      <c r="AH19" s="9"/>
      <c r="AI19" s="9"/>
      <c r="AJ19" s="9"/>
      <c r="AK19" s="10"/>
      <c r="AL19" s="28"/>
      <c r="AM19" s="25"/>
      <c r="AN19" s="25"/>
      <c r="AO19"/>
    </row>
    <row r="20" spans="1:41" ht="16.2" customHeight="1" thickBot="1" x14ac:dyDescent="0.35">
      <c r="A20" s="32">
        <v>4</v>
      </c>
      <c r="B20" s="40" t="s">
        <v>10</v>
      </c>
      <c r="C20" s="24" t="s">
        <v>9</v>
      </c>
      <c r="D20" s="24" t="s">
        <v>8</v>
      </c>
      <c r="E20" s="24" t="s">
        <v>4</v>
      </c>
      <c r="F20" s="11">
        <v>0.33333333333333331</v>
      </c>
      <c r="G20" s="10"/>
      <c r="H20" s="9"/>
      <c r="I20" s="10"/>
      <c r="J20" s="10"/>
      <c r="K20" s="9"/>
      <c r="L20" s="9"/>
      <c r="M20" s="9">
        <v>1</v>
      </c>
      <c r="N20" s="9">
        <v>1</v>
      </c>
      <c r="O20" s="9">
        <v>1</v>
      </c>
      <c r="P20" s="10">
        <v>1</v>
      </c>
      <c r="Q20" s="10"/>
      <c r="R20" s="9"/>
      <c r="S20" s="9"/>
      <c r="T20" s="9"/>
      <c r="U20" s="9"/>
      <c r="V20" s="9"/>
      <c r="W20" s="10"/>
      <c r="X20" s="10"/>
      <c r="Y20" s="9"/>
      <c r="Z20" s="9"/>
      <c r="AA20" s="9"/>
      <c r="AB20" s="9"/>
      <c r="AC20" s="9"/>
      <c r="AD20" s="10"/>
      <c r="AE20" s="10"/>
      <c r="AF20" s="9">
        <v>1</v>
      </c>
      <c r="AG20" s="9">
        <v>1</v>
      </c>
      <c r="AH20" s="9"/>
      <c r="AI20" s="9"/>
      <c r="AJ20" s="9"/>
      <c r="AK20" s="10"/>
      <c r="AL20" s="7">
        <f>SUM(G20:AK20)</f>
        <v>6</v>
      </c>
      <c r="AM20" s="6">
        <v>2150</v>
      </c>
      <c r="AN20" s="5">
        <f>AL20*AM20</f>
        <v>12900</v>
      </c>
      <c r="AO20"/>
    </row>
    <row r="21" spans="1:41" ht="16.2" thickBot="1" x14ac:dyDescent="0.35">
      <c r="A21" s="32"/>
      <c r="B21" s="41"/>
      <c r="C21" s="24" t="s">
        <v>9</v>
      </c>
      <c r="D21" s="24" t="s">
        <v>8</v>
      </c>
      <c r="E21" s="24" t="s">
        <v>4</v>
      </c>
      <c r="F21" s="11">
        <v>0.66666666666666663</v>
      </c>
      <c r="G21" s="10"/>
      <c r="H21" s="9"/>
      <c r="I21" s="10"/>
      <c r="J21" s="10"/>
      <c r="K21" s="9"/>
      <c r="L21" s="9"/>
      <c r="M21" s="9"/>
      <c r="N21" s="9"/>
      <c r="O21" s="9"/>
      <c r="P21" s="10">
        <v>1</v>
      </c>
      <c r="Q21" s="10"/>
      <c r="R21" s="9"/>
      <c r="S21" s="9"/>
      <c r="T21" s="9">
        <v>1</v>
      </c>
      <c r="U21" s="9">
        <v>1</v>
      </c>
      <c r="V21" s="9">
        <v>1</v>
      </c>
      <c r="W21" s="10">
        <v>1</v>
      </c>
      <c r="X21" s="10"/>
      <c r="Y21" s="9">
        <v>1</v>
      </c>
      <c r="Z21" s="9">
        <v>1</v>
      </c>
      <c r="AA21" s="9">
        <v>1</v>
      </c>
      <c r="AB21" s="9">
        <v>1</v>
      </c>
      <c r="AC21" s="9">
        <v>1</v>
      </c>
      <c r="AD21" s="10"/>
      <c r="AE21" s="10"/>
      <c r="AF21" s="9"/>
      <c r="AG21" s="9"/>
      <c r="AH21" s="9">
        <v>1</v>
      </c>
      <c r="AI21" s="9"/>
      <c r="AJ21" s="9"/>
      <c r="AK21" s="10"/>
      <c r="AL21" s="7">
        <f>SUM(G21:AK21)</f>
        <v>11</v>
      </c>
      <c r="AM21" s="6">
        <v>2150</v>
      </c>
      <c r="AN21" s="5">
        <f>AL21*AM21</f>
        <v>23650</v>
      </c>
      <c r="AO21"/>
    </row>
    <row r="22" spans="1:41" ht="16.2" thickBot="1" x14ac:dyDescent="0.35">
      <c r="A22" s="32"/>
      <c r="B22" s="41"/>
      <c r="C22" s="24" t="s">
        <v>9</v>
      </c>
      <c r="D22" s="24" t="s">
        <v>8</v>
      </c>
      <c r="E22" s="24" t="s">
        <v>4</v>
      </c>
      <c r="F22" s="11">
        <v>0</v>
      </c>
      <c r="G22" s="10"/>
      <c r="H22" s="9"/>
      <c r="I22" s="10"/>
      <c r="J22" s="10">
        <v>1</v>
      </c>
      <c r="K22" s="9"/>
      <c r="L22" s="9"/>
      <c r="M22" s="9"/>
      <c r="N22" s="9"/>
      <c r="O22" s="9"/>
      <c r="P22" s="10"/>
      <c r="Q22" s="10"/>
      <c r="R22" s="9"/>
      <c r="S22" s="9"/>
      <c r="T22" s="9">
        <v>1</v>
      </c>
      <c r="U22" s="9">
        <v>1</v>
      </c>
      <c r="V22" s="9">
        <v>1</v>
      </c>
      <c r="W22" s="10"/>
      <c r="X22" s="10">
        <v>1</v>
      </c>
      <c r="Y22" s="9">
        <v>1</v>
      </c>
      <c r="Z22" s="9">
        <v>1</v>
      </c>
      <c r="AA22" s="9">
        <v>1</v>
      </c>
      <c r="AB22" s="9">
        <v>1</v>
      </c>
      <c r="AC22" s="9"/>
      <c r="AD22" s="10"/>
      <c r="AE22" s="10"/>
      <c r="AF22" s="9"/>
      <c r="AG22" s="9"/>
      <c r="AH22" s="9"/>
      <c r="AI22" s="9"/>
      <c r="AJ22" s="9"/>
      <c r="AK22" s="8"/>
      <c r="AL22" s="7">
        <f>SUM(G22:AK22)</f>
        <v>9</v>
      </c>
      <c r="AM22" s="6">
        <v>2150</v>
      </c>
      <c r="AN22" s="5">
        <f>AL22*AM22</f>
        <v>19350</v>
      </c>
      <c r="AO22"/>
    </row>
    <row r="23" spans="1:41" ht="16.2" thickBot="1" x14ac:dyDescent="0.35">
      <c r="A23" s="32"/>
      <c r="B23" s="42"/>
      <c r="C23" s="24" t="s">
        <v>9</v>
      </c>
      <c r="D23" s="24" t="s">
        <v>8</v>
      </c>
      <c r="E23" s="24" t="s">
        <v>4</v>
      </c>
      <c r="F23" s="11">
        <v>1.0416666666666666E-2</v>
      </c>
      <c r="G23" s="10"/>
      <c r="H23" s="9"/>
      <c r="I23" s="10"/>
      <c r="J23" s="10"/>
      <c r="K23" s="9"/>
      <c r="L23" s="9"/>
      <c r="M23" s="9">
        <v>1</v>
      </c>
      <c r="N23" s="9">
        <v>1</v>
      </c>
      <c r="O23" s="9">
        <v>1</v>
      </c>
      <c r="P23" s="10"/>
      <c r="Q23" s="10"/>
      <c r="R23" s="9"/>
      <c r="S23" s="9"/>
      <c r="T23" s="9"/>
      <c r="U23" s="9"/>
      <c r="V23" s="9"/>
      <c r="W23" s="10"/>
      <c r="X23" s="10"/>
      <c r="Y23" s="9"/>
      <c r="Z23" s="9"/>
      <c r="AA23" s="9"/>
      <c r="AB23" s="9"/>
      <c r="AC23" s="9"/>
      <c r="AD23" s="10"/>
      <c r="AE23" s="10"/>
      <c r="AF23" s="9">
        <v>1</v>
      </c>
      <c r="AG23" s="9">
        <v>1</v>
      </c>
      <c r="AH23" s="9"/>
      <c r="AI23" s="9"/>
      <c r="AJ23" s="9"/>
      <c r="AK23" s="8"/>
      <c r="AL23" s="7">
        <f>SUM(G23:AK23)</f>
        <v>5</v>
      </c>
      <c r="AM23" s="6">
        <v>2150</v>
      </c>
      <c r="AN23" s="5">
        <f>AL23*AM23</f>
        <v>10750</v>
      </c>
    </row>
    <row r="24" spans="1:41" ht="16.2" thickBot="1" x14ac:dyDescent="0.35">
      <c r="A24" s="30" t="s">
        <v>3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1"/>
      <c r="AL24" s="12">
        <f>SUM(G14:AK23)</f>
        <v>75</v>
      </c>
      <c r="AM24" s="34">
        <f>SUM(AN14:AN23)</f>
        <v>116150</v>
      </c>
      <c r="AN24" s="35"/>
    </row>
    <row r="25" spans="1:41" ht="16.2" customHeight="1" thickBot="1" x14ac:dyDescent="0.35">
      <c r="A25" s="32">
        <v>5</v>
      </c>
      <c r="B25" s="33" t="s">
        <v>7</v>
      </c>
      <c r="C25" s="24" t="s">
        <v>6</v>
      </c>
      <c r="D25" s="24" t="s">
        <v>5</v>
      </c>
      <c r="E25" s="24" t="s">
        <v>4</v>
      </c>
      <c r="F25" s="11">
        <v>0.33333333333333331</v>
      </c>
      <c r="G25" s="10"/>
      <c r="H25" s="9"/>
      <c r="I25" s="10"/>
      <c r="J25" s="10"/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10">
        <v>1</v>
      </c>
      <c r="Q25" s="10"/>
      <c r="R25" s="9">
        <v>1</v>
      </c>
      <c r="S25" s="9">
        <v>1</v>
      </c>
      <c r="T25" s="9">
        <v>1</v>
      </c>
      <c r="U25" s="9">
        <v>1</v>
      </c>
      <c r="V25" s="9">
        <v>1</v>
      </c>
      <c r="W25" s="10">
        <v>1</v>
      </c>
      <c r="X25" s="10"/>
      <c r="Y25" s="9">
        <v>1</v>
      </c>
      <c r="Z25" s="9">
        <v>1</v>
      </c>
      <c r="AA25" s="9">
        <v>1</v>
      </c>
      <c r="AB25" s="9">
        <v>1</v>
      </c>
      <c r="AC25" s="9">
        <v>1</v>
      </c>
      <c r="AD25" s="10"/>
      <c r="AE25" s="10"/>
      <c r="AF25" s="9">
        <v>1</v>
      </c>
      <c r="AG25" s="9">
        <v>1</v>
      </c>
      <c r="AH25" s="9"/>
      <c r="AI25" s="9"/>
      <c r="AJ25" s="9"/>
      <c r="AK25" s="10"/>
      <c r="AL25" s="7">
        <f>SUM(G25:AK25)</f>
        <v>19</v>
      </c>
      <c r="AM25" s="6">
        <v>2150</v>
      </c>
      <c r="AN25" s="5">
        <f>AL25*AM25</f>
        <v>40850</v>
      </c>
    </row>
    <row r="26" spans="1:41" ht="16.2" thickBot="1" x14ac:dyDescent="0.35">
      <c r="A26" s="32"/>
      <c r="B26" s="33"/>
      <c r="C26" s="24" t="s">
        <v>24</v>
      </c>
      <c r="D26" s="24" t="s">
        <v>5</v>
      </c>
      <c r="E26" s="24" t="s">
        <v>4</v>
      </c>
      <c r="F26" s="11">
        <v>0.66666666666666663</v>
      </c>
      <c r="G26" s="10"/>
      <c r="H26" s="9"/>
      <c r="I26" s="10"/>
      <c r="J26" s="10"/>
      <c r="K26" s="9"/>
      <c r="L26" s="9"/>
      <c r="M26" s="9"/>
      <c r="N26" s="9"/>
      <c r="O26" s="9"/>
      <c r="P26" s="10">
        <v>1</v>
      </c>
      <c r="Q26" s="10"/>
      <c r="R26" s="9"/>
      <c r="S26" s="9"/>
      <c r="T26" s="9"/>
      <c r="U26" s="9"/>
      <c r="V26" s="9"/>
      <c r="W26" s="10">
        <v>1</v>
      </c>
      <c r="X26" s="10"/>
      <c r="Y26" s="9"/>
      <c r="Z26" s="9"/>
      <c r="AA26" s="9"/>
      <c r="AB26" s="9"/>
      <c r="AC26" s="9"/>
      <c r="AD26" s="10"/>
      <c r="AE26" s="10"/>
      <c r="AF26" s="9"/>
      <c r="AG26" s="9"/>
      <c r="AH26" s="9"/>
      <c r="AI26" s="9"/>
      <c r="AJ26" s="9"/>
      <c r="AK26" s="10"/>
      <c r="AL26" s="7">
        <f>SUM(G26:AK26)</f>
        <v>2</v>
      </c>
      <c r="AM26" s="6">
        <v>2150</v>
      </c>
      <c r="AN26" s="5">
        <f>AL26*AM26</f>
        <v>4300</v>
      </c>
    </row>
    <row r="27" spans="1:41" ht="16.2" thickBot="1" x14ac:dyDescent="0.35">
      <c r="A27" s="32"/>
      <c r="B27" s="33"/>
      <c r="C27" s="24" t="s">
        <v>25</v>
      </c>
      <c r="D27" s="24" t="s">
        <v>5</v>
      </c>
      <c r="E27" s="24" t="s">
        <v>4</v>
      </c>
      <c r="F27" s="11">
        <v>0</v>
      </c>
      <c r="G27" s="10"/>
      <c r="H27" s="9"/>
      <c r="I27" s="10"/>
      <c r="J27" s="10"/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10"/>
      <c r="Q27" s="10"/>
      <c r="R27" s="9">
        <v>1</v>
      </c>
      <c r="S27" s="9">
        <v>1</v>
      </c>
      <c r="T27" s="9">
        <v>1</v>
      </c>
      <c r="U27" s="9">
        <v>1</v>
      </c>
      <c r="V27" s="9">
        <v>1</v>
      </c>
      <c r="W27" s="10"/>
      <c r="X27" s="10"/>
      <c r="Y27" s="9">
        <v>1</v>
      </c>
      <c r="Z27" s="9">
        <v>1</v>
      </c>
      <c r="AA27" s="9">
        <v>1</v>
      </c>
      <c r="AB27" s="9">
        <v>1</v>
      </c>
      <c r="AC27" s="9">
        <v>1</v>
      </c>
      <c r="AD27" s="10"/>
      <c r="AE27" s="10"/>
      <c r="AF27" s="9">
        <v>1</v>
      </c>
      <c r="AG27" s="9">
        <v>1</v>
      </c>
      <c r="AH27" s="9"/>
      <c r="AI27" s="9"/>
      <c r="AJ27" s="9"/>
      <c r="AK27" s="8"/>
      <c r="AL27" s="7">
        <f>SUM(G27:AK27)</f>
        <v>17</v>
      </c>
      <c r="AM27" s="6">
        <v>2150</v>
      </c>
      <c r="AN27" s="5">
        <f>AL27*AM27</f>
        <v>36550</v>
      </c>
    </row>
    <row r="28" spans="1:41" ht="16.2" thickBot="1" x14ac:dyDescent="0.35">
      <c r="A28" s="30" t="s">
        <v>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1"/>
      <c r="AL28" s="4">
        <f>SUM(G25:AK27)</f>
        <v>38</v>
      </c>
      <c r="AM28" s="34">
        <f>SUM(AN25:AN27)</f>
        <v>81700</v>
      </c>
      <c r="AN28" s="35"/>
    </row>
    <row r="29" spans="1:41" ht="16.2" thickBot="1" x14ac:dyDescent="0.35">
      <c r="A29" s="39" t="s">
        <v>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">
        <f>SUM(AL28,AL24,AL13)</f>
        <v>189</v>
      </c>
      <c r="AM29" s="37">
        <f>SUM(AM28,AM24,AM13)</f>
        <v>314100</v>
      </c>
      <c r="AN29" s="38"/>
    </row>
    <row r="31" spans="1:41" ht="16.2" thickBot="1" x14ac:dyDescent="0.35"/>
    <row r="32" spans="1:41" ht="16.2" thickBot="1" x14ac:dyDescent="0.35">
      <c r="AL32" s="36" t="s">
        <v>1</v>
      </c>
      <c r="AM32" s="36"/>
      <c r="AN32" s="2">
        <f>SUM(AL3:AL8,AL14:AL19)</f>
        <v>45</v>
      </c>
    </row>
    <row r="33" spans="38:40" ht="16.2" thickBot="1" x14ac:dyDescent="0.35">
      <c r="AL33" s="36" t="s">
        <v>0</v>
      </c>
      <c r="AM33" s="36"/>
      <c r="AN33" s="2">
        <f>SUM(AL9:AL12,AL20:AL23,AL25:AL27)</f>
        <v>99</v>
      </c>
    </row>
  </sheetData>
  <mergeCells count="39">
    <mergeCell ref="AL32:AM32"/>
    <mergeCell ref="AL33:AM33"/>
    <mergeCell ref="B25:B27"/>
    <mergeCell ref="AM28:AN28"/>
    <mergeCell ref="AM29:AN29"/>
    <mergeCell ref="A29:AK29"/>
    <mergeCell ref="A25:A27"/>
    <mergeCell ref="A28:AK28"/>
    <mergeCell ref="A3:A8"/>
    <mergeCell ref="B3:B8"/>
    <mergeCell ref="A9:A12"/>
    <mergeCell ref="B9:B12"/>
    <mergeCell ref="AM24:AN24"/>
    <mergeCell ref="AL14:AL15"/>
    <mergeCell ref="AM14:AM15"/>
    <mergeCell ref="AN14:AN15"/>
    <mergeCell ref="AM13:AN13"/>
    <mergeCell ref="AM18:AM19"/>
    <mergeCell ref="A24:AK24"/>
    <mergeCell ref="A14:A19"/>
    <mergeCell ref="B14:B19"/>
    <mergeCell ref="A20:A23"/>
    <mergeCell ref="B20:B23"/>
    <mergeCell ref="AM7:AM8"/>
    <mergeCell ref="AN18:AN19"/>
    <mergeCell ref="AN7:AN8"/>
    <mergeCell ref="B1:AN1"/>
    <mergeCell ref="AL3:AL4"/>
    <mergeCell ref="AM3:AM4"/>
    <mergeCell ref="AN3:AN4"/>
    <mergeCell ref="AL5:AL6"/>
    <mergeCell ref="AM5:AM6"/>
    <mergeCell ref="AN5:AN6"/>
    <mergeCell ref="AL7:AL8"/>
    <mergeCell ref="AL16:AL17"/>
    <mergeCell ref="AM16:AM17"/>
    <mergeCell ref="AN16:AN17"/>
    <mergeCell ref="AL18:AL19"/>
    <mergeCell ref="A13:AK13"/>
  </mergeCells>
  <phoneticPr fontId="11" type="noConversion"/>
  <printOptions horizontalCentered="1"/>
  <pageMargins left="0" right="0" top="0.59055118110236227" bottom="0" header="0" footer="0"/>
  <pageSetup paperSize="9" scale="68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37CE-DF6F-4DD3-B906-6B3AEBDFC9D0}">
  <sheetPr codeName="Sayfa2"/>
  <dimension ref="A1:AO33"/>
  <sheetViews>
    <sheetView showGridLines="0" zoomScale="85" zoomScaleNormal="85" workbookViewId="0">
      <selection activeCell="F31" sqref="F31"/>
    </sheetView>
  </sheetViews>
  <sheetFormatPr defaultColWidth="9.109375" defaultRowHeight="15.6" x14ac:dyDescent="0.3"/>
  <cols>
    <col min="1" max="1" width="4.6640625" style="1" customWidth="1"/>
    <col min="2" max="2" width="18.77734375" style="1" customWidth="1"/>
    <col min="3" max="3" width="14" style="1" customWidth="1"/>
    <col min="4" max="4" width="17.88671875" style="1" customWidth="1"/>
    <col min="5" max="5" width="15.21875" style="1" customWidth="1"/>
    <col min="6" max="6" width="11.109375" style="1" customWidth="1"/>
    <col min="7" max="37" width="3.5546875" style="1" customWidth="1"/>
    <col min="38" max="38" width="8.77734375" style="1" customWidth="1"/>
    <col min="39" max="39" width="12.77734375" style="1" customWidth="1"/>
    <col min="40" max="40" width="15.6640625" style="1" customWidth="1"/>
    <col min="41" max="16384" width="9.109375" style="1"/>
  </cols>
  <sheetData>
    <row r="1" spans="1:41" ht="19.5" customHeight="1" thickBot="1" x14ac:dyDescent="0.35"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</row>
    <row r="2" spans="1:41" ht="31.8" customHeight="1" thickBot="1" x14ac:dyDescent="0.35">
      <c r="A2" s="23" t="s">
        <v>23</v>
      </c>
      <c r="B2" s="20" t="s">
        <v>22</v>
      </c>
      <c r="C2" s="22" t="s">
        <v>21</v>
      </c>
      <c r="D2" s="20" t="s">
        <v>20</v>
      </c>
      <c r="E2" s="22" t="s">
        <v>19</v>
      </c>
      <c r="F2" s="21" t="s">
        <v>18</v>
      </c>
      <c r="G2" s="19">
        <v>1</v>
      </c>
      <c r="H2" s="20">
        <v>2</v>
      </c>
      <c r="I2" s="19">
        <v>3</v>
      </c>
      <c r="J2" s="19">
        <v>4</v>
      </c>
      <c r="K2" s="20">
        <v>5</v>
      </c>
      <c r="L2" s="20">
        <v>6</v>
      </c>
      <c r="M2" s="20">
        <v>7</v>
      </c>
      <c r="N2" s="20">
        <v>8</v>
      </c>
      <c r="O2" s="20">
        <v>9</v>
      </c>
      <c r="P2" s="19">
        <v>10</v>
      </c>
      <c r="Q2" s="19">
        <v>11</v>
      </c>
      <c r="R2" s="20">
        <v>12</v>
      </c>
      <c r="S2" s="20">
        <v>13</v>
      </c>
      <c r="T2" s="20">
        <v>14</v>
      </c>
      <c r="U2" s="20">
        <v>15</v>
      </c>
      <c r="V2" s="20">
        <v>16</v>
      </c>
      <c r="W2" s="19">
        <v>17</v>
      </c>
      <c r="X2" s="19">
        <v>18</v>
      </c>
      <c r="Y2" s="20">
        <v>19</v>
      </c>
      <c r="Z2" s="20">
        <v>20</v>
      </c>
      <c r="AA2" s="20">
        <v>21</v>
      </c>
      <c r="AB2" s="20">
        <v>22</v>
      </c>
      <c r="AC2" s="20">
        <v>23</v>
      </c>
      <c r="AD2" s="19">
        <v>24</v>
      </c>
      <c r="AE2" s="19">
        <v>25</v>
      </c>
      <c r="AF2" s="20">
        <v>26</v>
      </c>
      <c r="AG2" s="20">
        <v>27</v>
      </c>
      <c r="AH2" s="20">
        <v>28</v>
      </c>
      <c r="AI2" s="20">
        <v>29</v>
      </c>
      <c r="AJ2" s="20">
        <v>30</v>
      </c>
      <c r="AK2" s="19">
        <v>31</v>
      </c>
      <c r="AL2" s="18" t="s">
        <v>16</v>
      </c>
      <c r="AM2" s="18" t="s">
        <v>17</v>
      </c>
      <c r="AN2" s="18" t="s">
        <v>16</v>
      </c>
      <c r="AO2"/>
    </row>
    <row r="3" spans="1:41" ht="16.2" customHeight="1" thickBot="1" x14ac:dyDescent="0.35">
      <c r="A3" s="46">
        <v>1</v>
      </c>
      <c r="B3" s="40" t="s">
        <v>15</v>
      </c>
      <c r="C3" s="43" t="s">
        <v>14</v>
      </c>
      <c r="D3" s="43" t="s">
        <v>13</v>
      </c>
      <c r="E3" s="43" t="s">
        <v>11</v>
      </c>
      <c r="F3" s="15">
        <v>0.33333333333333331</v>
      </c>
      <c r="G3" s="10"/>
      <c r="H3" s="9"/>
      <c r="I3" s="10"/>
      <c r="J3" s="10"/>
      <c r="K3" s="9">
        <v>1</v>
      </c>
      <c r="L3" s="9">
        <v>1</v>
      </c>
      <c r="M3" s="9"/>
      <c r="N3" s="9"/>
      <c r="O3" s="9"/>
      <c r="P3" s="10"/>
      <c r="Q3" s="10"/>
      <c r="R3" s="9">
        <v>1</v>
      </c>
      <c r="S3" s="9">
        <v>1</v>
      </c>
      <c r="T3" s="9">
        <v>1</v>
      </c>
      <c r="U3" s="9">
        <v>1</v>
      </c>
      <c r="V3" s="9">
        <v>1</v>
      </c>
      <c r="W3" s="10">
        <v>1</v>
      </c>
      <c r="X3" s="10"/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10"/>
      <c r="AE3" s="10"/>
      <c r="AF3" s="9"/>
      <c r="AG3" s="9"/>
      <c r="AH3" s="9"/>
      <c r="AI3" s="9"/>
      <c r="AJ3" s="9"/>
      <c r="AK3" s="10"/>
      <c r="AL3" s="28">
        <f>SUM(G3:AK4)/2</f>
        <v>13</v>
      </c>
      <c r="AM3" s="25">
        <v>2250</v>
      </c>
      <c r="AN3" s="25">
        <f>AL3*AM3</f>
        <v>29250</v>
      </c>
      <c r="AO3"/>
    </row>
    <row r="4" spans="1:41" ht="15" customHeight="1" thickBot="1" x14ac:dyDescent="0.35">
      <c r="A4" s="47"/>
      <c r="B4" s="41"/>
      <c r="C4" s="44"/>
      <c r="D4" s="44"/>
      <c r="E4" s="44"/>
      <c r="F4" s="15">
        <v>0.34375</v>
      </c>
      <c r="G4" s="10"/>
      <c r="H4" s="9"/>
      <c r="I4" s="10"/>
      <c r="J4" s="10"/>
      <c r="K4" s="9">
        <v>1</v>
      </c>
      <c r="L4" s="9">
        <v>1</v>
      </c>
      <c r="M4" s="9"/>
      <c r="N4" s="9"/>
      <c r="O4" s="9"/>
      <c r="P4" s="10"/>
      <c r="Q4" s="10"/>
      <c r="R4" s="9">
        <v>1</v>
      </c>
      <c r="S4" s="9">
        <v>1</v>
      </c>
      <c r="T4" s="9">
        <v>1</v>
      </c>
      <c r="U4" s="9">
        <v>1</v>
      </c>
      <c r="V4" s="9">
        <v>1</v>
      </c>
      <c r="W4" s="10">
        <v>1</v>
      </c>
      <c r="X4" s="10"/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10"/>
      <c r="AE4" s="10"/>
      <c r="AF4" s="9"/>
      <c r="AG4" s="9"/>
      <c r="AH4" s="9"/>
      <c r="AI4" s="9"/>
      <c r="AJ4" s="9"/>
      <c r="AK4" s="10"/>
      <c r="AL4" s="28"/>
      <c r="AM4" s="25"/>
      <c r="AN4" s="25"/>
      <c r="AO4"/>
    </row>
    <row r="5" spans="1:41" ht="15" customHeight="1" thickBot="1" x14ac:dyDescent="0.35">
      <c r="A5" s="47"/>
      <c r="B5" s="41"/>
      <c r="C5" s="44"/>
      <c r="D5" s="44"/>
      <c r="E5" s="44"/>
      <c r="F5" s="15">
        <v>0.66666666666666663</v>
      </c>
      <c r="G5" s="10"/>
      <c r="H5" s="9"/>
      <c r="I5" s="10"/>
      <c r="J5" s="10"/>
      <c r="K5" s="9"/>
      <c r="L5" s="9"/>
      <c r="M5" s="9">
        <v>1</v>
      </c>
      <c r="N5" s="9">
        <v>1</v>
      </c>
      <c r="O5" s="9">
        <v>1</v>
      </c>
      <c r="P5" s="10">
        <v>1</v>
      </c>
      <c r="Q5" s="10"/>
      <c r="R5" s="9"/>
      <c r="S5" s="9"/>
      <c r="T5" s="9"/>
      <c r="U5" s="9"/>
      <c r="V5" s="9"/>
      <c r="W5" s="10"/>
      <c r="X5" s="10"/>
      <c r="Y5" s="9"/>
      <c r="Z5" s="9"/>
      <c r="AA5" s="9"/>
      <c r="AB5" s="9"/>
      <c r="AC5" s="9"/>
      <c r="AD5" s="10"/>
      <c r="AE5" s="10"/>
      <c r="AF5" s="9">
        <v>1</v>
      </c>
      <c r="AG5" s="9">
        <v>1</v>
      </c>
      <c r="AH5" s="9"/>
      <c r="AI5" s="9"/>
      <c r="AJ5" s="9"/>
      <c r="AK5" s="10"/>
      <c r="AL5" s="28">
        <f>SUM(G5:AK6)/2</f>
        <v>6</v>
      </c>
      <c r="AM5" s="25">
        <v>2250</v>
      </c>
      <c r="AN5" s="25">
        <f>AL5*AM5</f>
        <v>13500</v>
      </c>
      <c r="AO5"/>
    </row>
    <row r="6" spans="1:41" ht="15" customHeight="1" thickBot="1" x14ac:dyDescent="0.35">
      <c r="A6" s="47"/>
      <c r="B6" s="41"/>
      <c r="C6" s="44"/>
      <c r="D6" s="44"/>
      <c r="E6" s="44"/>
      <c r="F6" s="15">
        <v>0.67708333333333337</v>
      </c>
      <c r="G6" s="10"/>
      <c r="H6" s="9"/>
      <c r="I6" s="10"/>
      <c r="J6" s="10"/>
      <c r="K6" s="9"/>
      <c r="L6" s="9"/>
      <c r="M6" s="9">
        <v>1</v>
      </c>
      <c r="N6" s="9">
        <v>1</v>
      </c>
      <c r="O6" s="9">
        <v>1</v>
      </c>
      <c r="P6" s="10">
        <v>1</v>
      </c>
      <c r="Q6" s="10"/>
      <c r="R6" s="9"/>
      <c r="S6" s="9"/>
      <c r="T6" s="9"/>
      <c r="U6" s="9"/>
      <c r="V6" s="9"/>
      <c r="W6" s="10"/>
      <c r="X6" s="10"/>
      <c r="Y6" s="9"/>
      <c r="Z6" s="9"/>
      <c r="AA6" s="9"/>
      <c r="AB6" s="9"/>
      <c r="AC6" s="9"/>
      <c r="AD6" s="10"/>
      <c r="AE6" s="10"/>
      <c r="AF6" s="9">
        <v>1</v>
      </c>
      <c r="AG6" s="9">
        <v>1</v>
      </c>
      <c r="AH6" s="9"/>
      <c r="AI6" s="9"/>
      <c r="AJ6" s="9"/>
      <c r="AK6" s="10"/>
      <c r="AL6" s="28"/>
      <c r="AM6" s="25"/>
      <c r="AN6" s="25"/>
      <c r="AO6"/>
    </row>
    <row r="7" spans="1:41" ht="15" customHeight="1" thickBot="1" x14ac:dyDescent="0.35">
      <c r="A7" s="47"/>
      <c r="B7" s="41"/>
      <c r="C7" s="44"/>
      <c r="D7" s="44"/>
      <c r="E7" s="44"/>
      <c r="F7" s="15" t="s">
        <v>12</v>
      </c>
      <c r="G7" s="10"/>
      <c r="H7" s="9"/>
      <c r="I7" s="10"/>
      <c r="J7" s="10"/>
      <c r="K7" s="9">
        <v>1</v>
      </c>
      <c r="L7" s="9">
        <v>1</v>
      </c>
      <c r="M7" s="9"/>
      <c r="N7" s="9"/>
      <c r="O7" s="9"/>
      <c r="P7" s="10"/>
      <c r="Q7" s="10"/>
      <c r="R7" s="9">
        <v>1</v>
      </c>
      <c r="S7" s="9">
        <v>1</v>
      </c>
      <c r="T7" s="9"/>
      <c r="U7" s="9"/>
      <c r="V7" s="9"/>
      <c r="W7" s="10"/>
      <c r="X7" s="10"/>
      <c r="Y7" s="9"/>
      <c r="Z7" s="9"/>
      <c r="AA7" s="9"/>
      <c r="AB7" s="9"/>
      <c r="AC7" s="9"/>
      <c r="AD7" s="10"/>
      <c r="AE7" s="10"/>
      <c r="AF7" s="9"/>
      <c r="AG7" s="9"/>
      <c r="AH7" s="9"/>
      <c r="AI7" s="9"/>
      <c r="AJ7" s="9"/>
      <c r="AK7" s="10"/>
      <c r="AL7" s="28" cm="1">
        <f t="array" ref="AL7">SUM(G7:AK8/2)</f>
        <v>4</v>
      </c>
      <c r="AM7" s="25">
        <v>2250</v>
      </c>
      <c r="AN7" s="25">
        <f>AL7*AM7</f>
        <v>9000</v>
      </c>
      <c r="AO7"/>
    </row>
    <row r="8" spans="1:41" ht="15" customHeight="1" thickBot="1" x14ac:dyDescent="0.35">
      <c r="A8" s="47"/>
      <c r="B8" s="41"/>
      <c r="C8" s="44"/>
      <c r="D8" s="44"/>
      <c r="E8" s="45"/>
      <c r="F8" s="15">
        <v>0.84375</v>
      </c>
      <c r="G8" s="10"/>
      <c r="H8" s="9"/>
      <c r="I8" s="10"/>
      <c r="J8" s="10"/>
      <c r="K8" s="9">
        <v>1</v>
      </c>
      <c r="L8" s="9">
        <v>1</v>
      </c>
      <c r="M8" s="9"/>
      <c r="N8" s="9"/>
      <c r="O8" s="9"/>
      <c r="P8" s="10"/>
      <c r="Q8" s="10"/>
      <c r="R8" s="9">
        <v>1</v>
      </c>
      <c r="S8" s="9">
        <v>1</v>
      </c>
      <c r="T8" s="9"/>
      <c r="U8" s="9"/>
      <c r="V8" s="9"/>
      <c r="W8" s="10"/>
      <c r="X8" s="10"/>
      <c r="Y8" s="9"/>
      <c r="Z8" s="9"/>
      <c r="AA8" s="9"/>
      <c r="AB8" s="9"/>
      <c r="AC8" s="9"/>
      <c r="AD8" s="10"/>
      <c r="AE8" s="10"/>
      <c r="AF8" s="9"/>
      <c r="AG8" s="9"/>
      <c r="AH8" s="9"/>
      <c r="AI8" s="9"/>
      <c r="AJ8" s="9"/>
      <c r="AK8" s="10"/>
      <c r="AL8" s="28"/>
      <c r="AM8" s="25"/>
      <c r="AN8" s="25"/>
      <c r="AO8"/>
    </row>
    <row r="9" spans="1:41" ht="16.2" customHeight="1" thickBot="1" x14ac:dyDescent="0.35">
      <c r="A9" s="47"/>
      <c r="B9" s="41"/>
      <c r="C9" s="44"/>
      <c r="D9" s="44"/>
      <c r="E9" s="43" t="s">
        <v>4</v>
      </c>
      <c r="F9" s="11">
        <v>0.33333333333333331</v>
      </c>
      <c r="G9" s="10"/>
      <c r="H9" s="9"/>
      <c r="I9" s="10"/>
      <c r="J9" s="10"/>
      <c r="K9" s="9"/>
      <c r="L9" s="9"/>
      <c r="M9" s="9">
        <v>1</v>
      </c>
      <c r="N9" s="9">
        <v>1</v>
      </c>
      <c r="O9" s="9">
        <v>1</v>
      </c>
      <c r="P9" s="10">
        <v>1</v>
      </c>
      <c r="Q9" s="10"/>
      <c r="R9" s="9"/>
      <c r="S9" s="9"/>
      <c r="T9" s="9"/>
      <c r="U9" s="9"/>
      <c r="V9" s="9"/>
      <c r="W9" s="10"/>
      <c r="X9" s="10"/>
      <c r="Y9" s="9"/>
      <c r="Z9" s="9"/>
      <c r="AA9" s="9"/>
      <c r="AB9" s="9"/>
      <c r="AC9" s="9"/>
      <c r="AD9" s="10"/>
      <c r="AE9" s="10"/>
      <c r="AF9" s="9">
        <v>1</v>
      </c>
      <c r="AG9" s="9">
        <v>1</v>
      </c>
      <c r="AH9" s="9"/>
      <c r="AI9" s="9"/>
      <c r="AJ9" s="9"/>
      <c r="AK9" s="10"/>
      <c r="AL9" s="7">
        <f>SUM(G9:AK9)</f>
        <v>6</v>
      </c>
      <c r="AM9" s="6">
        <v>2150</v>
      </c>
      <c r="AN9" s="5">
        <f>AL9*AM9</f>
        <v>12900</v>
      </c>
      <c r="AO9"/>
    </row>
    <row r="10" spans="1:41" ht="16.2" thickBot="1" x14ac:dyDescent="0.35">
      <c r="A10" s="47"/>
      <c r="B10" s="41"/>
      <c r="C10" s="44"/>
      <c r="D10" s="44"/>
      <c r="E10" s="44"/>
      <c r="F10" s="11">
        <v>0.66666666666666663</v>
      </c>
      <c r="G10" s="10"/>
      <c r="H10" s="9"/>
      <c r="I10" s="10"/>
      <c r="J10" s="10"/>
      <c r="K10" s="9"/>
      <c r="L10" s="9"/>
      <c r="M10" s="9"/>
      <c r="N10" s="9"/>
      <c r="O10" s="9"/>
      <c r="P10" s="10"/>
      <c r="Q10" s="10"/>
      <c r="R10" s="9"/>
      <c r="S10" s="9"/>
      <c r="T10" s="9">
        <v>1</v>
      </c>
      <c r="U10" s="9">
        <v>1</v>
      </c>
      <c r="V10" s="9">
        <v>1</v>
      </c>
      <c r="W10" s="10">
        <v>1</v>
      </c>
      <c r="X10" s="10"/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10"/>
      <c r="AE10" s="10"/>
      <c r="AF10" s="9"/>
      <c r="AG10" s="9"/>
      <c r="AH10" s="9">
        <v>1</v>
      </c>
      <c r="AI10" s="9"/>
      <c r="AJ10" s="9"/>
      <c r="AK10" s="10"/>
      <c r="AL10" s="7">
        <f>SUM(G10:AK10)</f>
        <v>10</v>
      </c>
      <c r="AM10" s="6">
        <v>2150</v>
      </c>
      <c r="AN10" s="5">
        <f>AL10*AM10</f>
        <v>21500</v>
      </c>
      <c r="AO10"/>
    </row>
    <row r="11" spans="1:41" ht="16.2" thickBot="1" x14ac:dyDescent="0.35">
      <c r="A11" s="47"/>
      <c r="B11" s="41"/>
      <c r="C11" s="44"/>
      <c r="D11" s="44"/>
      <c r="E11" s="44"/>
      <c r="F11" s="11">
        <v>0</v>
      </c>
      <c r="G11" s="10"/>
      <c r="H11" s="9"/>
      <c r="I11" s="10"/>
      <c r="J11" s="10">
        <v>1</v>
      </c>
      <c r="K11" s="9"/>
      <c r="L11" s="9"/>
      <c r="M11" s="9"/>
      <c r="N11" s="9"/>
      <c r="O11" s="9"/>
      <c r="P11" s="10"/>
      <c r="Q11" s="10"/>
      <c r="R11" s="9"/>
      <c r="S11" s="9"/>
      <c r="T11" s="9">
        <v>1</v>
      </c>
      <c r="U11" s="9">
        <v>1</v>
      </c>
      <c r="V11" s="9">
        <v>1</v>
      </c>
      <c r="W11" s="10"/>
      <c r="X11" s="10">
        <v>1</v>
      </c>
      <c r="Y11" s="9">
        <v>1</v>
      </c>
      <c r="Z11" s="9">
        <v>1</v>
      </c>
      <c r="AA11" s="9">
        <v>1</v>
      </c>
      <c r="AB11" s="9">
        <v>1</v>
      </c>
      <c r="AC11" s="9"/>
      <c r="AD11" s="10"/>
      <c r="AE11" s="10"/>
      <c r="AF11" s="9"/>
      <c r="AG11" s="9"/>
      <c r="AH11" s="9"/>
      <c r="AI11" s="9"/>
      <c r="AJ11" s="9"/>
      <c r="AK11" s="8"/>
      <c r="AL11" s="7">
        <f>SUM(G11:AK11)</f>
        <v>9</v>
      </c>
      <c r="AM11" s="6">
        <v>2150</v>
      </c>
      <c r="AN11" s="5">
        <f>AL11*AM11</f>
        <v>19350</v>
      </c>
      <c r="AO11"/>
    </row>
    <row r="12" spans="1:41" ht="16.2" thickBot="1" x14ac:dyDescent="0.35">
      <c r="A12" s="48"/>
      <c r="B12" s="42"/>
      <c r="C12" s="45"/>
      <c r="D12" s="45"/>
      <c r="E12" s="45"/>
      <c r="F12" s="11">
        <v>1.0416666666666666E-2</v>
      </c>
      <c r="G12" s="10"/>
      <c r="H12" s="9"/>
      <c r="I12" s="10"/>
      <c r="J12" s="10"/>
      <c r="K12" s="9"/>
      <c r="L12" s="9"/>
      <c r="M12" s="9">
        <v>1</v>
      </c>
      <c r="N12" s="9">
        <v>1</v>
      </c>
      <c r="O12" s="9">
        <v>1</v>
      </c>
      <c r="P12" s="10"/>
      <c r="Q12" s="10"/>
      <c r="R12" s="9"/>
      <c r="S12" s="9"/>
      <c r="T12" s="9"/>
      <c r="U12" s="9"/>
      <c r="V12" s="9"/>
      <c r="W12" s="10"/>
      <c r="X12" s="10"/>
      <c r="Y12" s="9"/>
      <c r="Z12" s="9"/>
      <c r="AA12" s="9"/>
      <c r="AB12" s="9"/>
      <c r="AC12" s="9"/>
      <c r="AD12" s="10"/>
      <c r="AE12" s="10"/>
      <c r="AF12" s="9">
        <v>1</v>
      </c>
      <c r="AG12" s="9">
        <v>1</v>
      </c>
      <c r="AH12" s="9"/>
      <c r="AI12" s="9"/>
      <c r="AJ12" s="9"/>
      <c r="AK12" s="8"/>
      <c r="AL12" s="7">
        <f>SUM(G12:AK12)</f>
        <v>5</v>
      </c>
      <c r="AM12" s="6">
        <v>2150</v>
      </c>
      <c r="AN12" s="5">
        <f>AL12*AM12</f>
        <v>10750</v>
      </c>
      <c r="AO12"/>
    </row>
    <row r="13" spans="1:41" ht="16.2" thickBot="1" x14ac:dyDescent="0.35">
      <c r="A13" s="29" t="s">
        <v>3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1"/>
      <c r="AL13" s="12">
        <f>SUM(G3:AK12)</f>
        <v>76</v>
      </c>
      <c r="AM13" s="34">
        <f>SUM(AN3:AN12)</f>
        <v>116250</v>
      </c>
      <c r="AN13" s="35"/>
    </row>
    <row r="14" spans="1:41" ht="16.2" customHeight="1" thickBot="1" x14ac:dyDescent="0.35">
      <c r="A14" s="46">
        <v>2</v>
      </c>
      <c r="B14" s="40" t="s">
        <v>10</v>
      </c>
      <c r="C14" s="43" t="s">
        <v>9</v>
      </c>
      <c r="D14" s="43" t="s">
        <v>8</v>
      </c>
      <c r="E14" s="43" t="s">
        <v>11</v>
      </c>
      <c r="F14" s="15">
        <v>0.33333333333333331</v>
      </c>
      <c r="G14" s="10"/>
      <c r="H14" s="9"/>
      <c r="I14" s="10"/>
      <c r="J14" s="10"/>
      <c r="K14" s="9">
        <v>1</v>
      </c>
      <c r="L14" s="9">
        <v>1</v>
      </c>
      <c r="M14" s="9"/>
      <c r="N14" s="9"/>
      <c r="O14" s="9"/>
      <c r="P14" s="10"/>
      <c r="Q14" s="10"/>
      <c r="R14" s="9">
        <v>1</v>
      </c>
      <c r="S14" s="9">
        <v>1</v>
      </c>
      <c r="T14" s="9">
        <v>1</v>
      </c>
      <c r="U14" s="9">
        <v>1</v>
      </c>
      <c r="V14" s="9">
        <v>1</v>
      </c>
      <c r="W14" s="10">
        <v>1</v>
      </c>
      <c r="X14" s="10"/>
      <c r="Y14" s="9">
        <v>1</v>
      </c>
      <c r="Z14" s="9">
        <v>1</v>
      </c>
      <c r="AA14" s="9">
        <v>1</v>
      </c>
      <c r="AB14" s="9">
        <v>1</v>
      </c>
      <c r="AC14" s="9">
        <v>1</v>
      </c>
      <c r="AD14" s="10"/>
      <c r="AE14" s="10"/>
      <c r="AF14" s="9"/>
      <c r="AG14" s="9"/>
      <c r="AH14" s="9"/>
      <c r="AI14" s="9"/>
      <c r="AJ14" s="9"/>
      <c r="AK14" s="10"/>
      <c r="AL14" s="28">
        <f>SUM(G14:AK15)/2</f>
        <v>13</v>
      </c>
      <c r="AM14" s="25">
        <v>2250</v>
      </c>
      <c r="AN14" s="25">
        <f>AL14*AM14</f>
        <v>29250</v>
      </c>
    </row>
    <row r="15" spans="1:41" ht="16.2" thickBot="1" x14ac:dyDescent="0.35">
      <c r="A15" s="47"/>
      <c r="B15" s="41"/>
      <c r="C15" s="44"/>
      <c r="D15" s="44"/>
      <c r="E15" s="44"/>
      <c r="F15" s="15">
        <v>0.34375</v>
      </c>
      <c r="G15" s="10"/>
      <c r="H15" s="9"/>
      <c r="I15" s="10"/>
      <c r="J15" s="10"/>
      <c r="K15" s="9">
        <v>1</v>
      </c>
      <c r="L15" s="9">
        <v>1</v>
      </c>
      <c r="M15" s="9"/>
      <c r="N15" s="9"/>
      <c r="O15" s="9"/>
      <c r="P15" s="10"/>
      <c r="Q15" s="10"/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10">
        <v>1</v>
      </c>
      <c r="X15" s="10"/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10"/>
      <c r="AE15" s="10"/>
      <c r="AF15" s="9"/>
      <c r="AG15" s="9"/>
      <c r="AH15" s="9"/>
      <c r="AI15" s="9"/>
      <c r="AJ15" s="9"/>
      <c r="AK15" s="10"/>
      <c r="AL15" s="28"/>
      <c r="AM15" s="25"/>
      <c r="AN15" s="25"/>
    </row>
    <row r="16" spans="1:41" ht="16.2" thickBot="1" x14ac:dyDescent="0.35">
      <c r="A16" s="47"/>
      <c r="B16" s="41"/>
      <c r="C16" s="44"/>
      <c r="D16" s="44"/>
      <c r="E16" s="44"/>
      <c r="F16" s="15">
        <v>0.66666666666666663</v>
      </c>
      <c r="G16" s="10"/>
      <c r="H16" s="9"/>
      <c r="I16" s="10"/>
      <c r="J16" s="10"/>
      <c r="K16" s="9"/>
      <c r="L16" s="9"/>
      <c r="M16" s="9">
        <v>1</v>
      </c>
      <c r="N16" s="9">
        <v>1</v>
      </c>
      <c r="O16" s="9">
        <v>1</v>
      </c>
      <c r="P16" s="10"/>
      <c r="Q16" s="10"/>
      <c r="R16" s="9"/>
      <c r="S16" s="9"/>
      <c r="T16" s="9"/>
      <c r="U16" s="9"/>
      <c r="V16" s="9"/>
      <c r="W16" s="10"/>
      <c r="X16" s="10"/>
      <c r="Y16" s="9"/>
      <c r="Z16" s="9"/>
      <c r="AA16" s="9"/>
      <c r="AB16" s="9"/>
      <c r="AC16" s="9"/>
      <c r="AD16" s="10"/>
      <c r="AE16" s="10"/>
      <c r="AF16" s="9">
        <v>1</v>
      </c>
      <c r="AG16" s="9">
        <v>1</v>
      </c>
      <c r="AH16" s="9"/>
      <c r="AI16" s="9"/>
      <c r="AJ16" s="9"/>
      <c r="AK16" s="10"/>
      <c r="AL16" s="28">
        <f>SUM(G16:AK17)/2</f>
        <v>5</v>
      </c>
      <c r="AM16" s="25">
        <v>2250</v>
      </c>
      <c r="AN16" s="25">
        <f>AL16*AM16</f>
        <v>11250</v>
      </c>
    </row>
    <row r="17" spans="1:41" ht="16.2" thickBot="1" x14ac:dyDescent="0.35">
      <c r="A17" s="47"/>
      <c r="B17" s="41"/>
      <c r="C17" s="44"/>
      <c r="D17" s="44"/>
      <c r="E17" s="44"/>
      <c r="F17" s="15">
        <v>0.67708333333333337</v>
      </c>
      <c r="G17" s="10"/>
      <c r="H17" s="9"/>
      <c r="I17" s="10"/>
      <c r="J17" s="10"/>
      <c r="K17" s="16"/>
      <c r="L17" s="16"/>
      <c r="M17" s="16">
        <v>1</v>
      </c>
      <c r="N17" s="16">
        <v>1</v>
      </c>
      <c r="O17" s="16">
        <v>1</v>
      </c>
      <c r="P17" s="17"/>
      <c r="Q17" s="17"/>
      <c r="R17" s="16"/>
      <c r="S17" s="16"/>
      <c r="T17" s="16"/>
      <c r="U17" s="16"/>
      <c r="V17" s="9"/>
      <c r="W17" s="10"/>
      <c r="X17" s="10"/>
      <c r="Y17" s="9"/>
      <c r="Z17" s="9"/>
      <c r="AA17" s="9"/>
      <c r="AB17" s="9"/>
      <c r="AC17" s="9"/>
      <c r="AD17" s="10"/>
      <c r="AE17" s="10"/>
      <c r="AF17" s="9">
        <v>1</v>
      </c>
      <c r="AG17" s="9">
        <v>1</v>
      </c>
      <c r="AH17" s="9"/>
      <c r="AI17" s="9"/>
      <c r="AJ17" s="9"/>
      <c r="AK17" s="10"/>
      <c r="AL17" s="28"/>
      <c r="AM17" s="25"/>
      <c r="AN17" s="25"/>
    </row>
    <row r="18" spans="1:41" ht="16.2" thickBot="1" x14ac:dyDescent="0.35">
      <c r="A18" s="47"/>
      <c r="B18" s="41"/>
      <c r="C18" s="44"/>
      <c r="D18" s="44"/>
      <c r="E18" s="44"/>
      <c r="F18" s="15" t="s">
        <v>12</v>
      </c>
      <c r="G18" s="10"/>
      <c r="H18" s="9"/>
      <c r="I18" s="10"/>
      <c r="J18" s="10"/>
      <c r="K18" s="13">
        <v>1</v>
      </c>
      <c r="L18" s="13">
        <v>1</v>
      </c>
      <c r="M18" s="13"/>
      <c r="N18" s="13"/>
      <c r="O18" s="13"/>
      <c r="P18" s="14"/>
      <c r="Q18" s="14"/>
      <c r="R18" s="13">
        <v>1</v>
      </c>
      <c r="S18" s="13">
        <v>1</v>
      </c>
      <c r="T18" s="9"/>
      <c r="U18" s="9"/>
      <c r="V18" s="9"/>
      <c r="W18" s="10"/>
      <c r="X18" s="10"/>
      <c r="Y18" s="9"/>
      <c r="Z18" s="9"/>
      <c r="AA18" s="9"/>
      <c r="AB18" s="9"/>
      <c r="AC18" s="9"/>
      <c r="AD18" s="10"/>
      <c r="AE18" s="10"/>
      <c r="AF18" s="9"/>
      <c r="AG18" s="9"/>
      <c r="AH18" s="9"/>
      <c r="AI18" s="9"/>
      <c r="AJ18" s="9"/>
      <c r="AK18" s="10"/>
      <c r="AL18" s="28" cm="1">
        <f t="array" ref="AL18">SUM(G18:AK19/2)</f>
        <v>4</v>
      </c>
      <c r="AM18" s="25">
        <v>2250</v>
      </c>
      <c r="AN18" s="25">
        <f>AL18*AM18</f>
        <v>9000</v>
      </c>
    </row>
    <row r="19" spans="1:41" ht="16.2" thickBot="1" x14ac:dyDescent="0.35">
      <c r="A19" s="47"/>
      <c r="B19" s="41"/>
      <c r="C19" s="44"/>
      <c r="D19" s="44"/>
      <c r="E19" s="45"/>
      <c r="F19" s="15">
        <v>0.84375</v>
      </c>
      <c r="G19" s="10"/>
      <c r="H19" s="9"/>
      <c r="I19" s="10"/>
      <c r="J19" s="10"/>
      <c r="K19" s="13">
        <v>1</v>
      </c>
      <c r="L19" s="13">
        <v>1</v>
      </c>
      <c r="M19" s="13"/>
      <c r="N19" s="13"/>
      <c r="O19" s="13"/>
      <c r="P19" s="14"/>
      <c r="Q19" s="14"/>
      <c r="R19" s="13">
        <v>1</v>
      </c>
      <c r="S19" s="13">
        <v>1</v>
      </c>
      <c r="T19" s="9"/>
      <c r="U19" s="9"/>
      <c r="V19" s="9"/>
      <c r="W19" s="10"/>
      <c r="X19" s="10"/>
      <c r="Y19" s="9"/>
      <c r="Z19" s="9"/>
      <c r="AA19" s="9"/>
      <c r="AB19" s="9"/>
      <c r="AC19" s="9"/>
      <c r="AD19" s="10"/>
      <c r="AE19" s="10"/>
      <c r="AF19" s="9"/>
      <c r="AG19" s="9"/>
      <c r="AH19" s="9"/>
      <c r="AI19" s="9"/>
      <c r="AJ19" s="9"/>
      <c r="AK19" s="10"/>
      <c r="AL19" s="28"/>
      <c r="AM19" s="25"/>
      <c r="AN19" s="25"/>
      <c r="AO19"/>
    </row>
    <row r="20" spans="1:41" ht="16.2" customHeight="1" thickBot="1" x14ac:dyDescent="0.35">
      <c r="A20" s="47"/>
      <c r="B20" s="41"/>
      <c r="C20" s="44"/>
      <c r="D20" s="44"/>
      <c r="E20" s="43" t="s">
        <v>4</v>
      </c>
      <c r="F20" s="11">
        <v>0.33333333333333331</v>
      </c>
      <c r="G20" s="10"/>
      <c r="H20" s="9"/>
      <c r="I20" s="10"/>
      <c r="J20" s="10"/>
      <c r="K20" s="9"/>
      <c r="L20" s="9"/>
      <c r="M20" s="9">
        <v>1</v>
      </c>
      <c r="N20" s="9">
        <v>1</v>
      </c>
      <c r="O20" s="9">
        <v>1</v>
      </c>
      <c r="P20" s="10">
        <v>1</v>
      </c>
      <c r="Q20" s="10"/>
      <c r="R20" s="9"/>
      <c r="S20" s="9"/>
      <c r="T20" s="9"/>
      <c r="U20" s="9"/>
      <c r="V20" s="9"/>
      <c r="W20" s="10"/>
      <c r="X20" s="10"/>
      <c r="Y20" s="9"/>
      <c r="Z20" s="9"/>
      <c r="AA20" s="9"/>
      <c r="AB20" s="9"/>
      <c r="AC20" s="9"/>
      <c r="AD20" s="10"/>
      <c r="AE20" s="10"/>
      <c r="AF20" s="9">
        <v>1</v>
      </c>
      <c r="AG20" s="9">
        <v>1</v>
      </c>
      <c r="AH20" s="9"/>
      <c r="AI20" s="9"/>
      <c r="AJ20" s="9"/>
      <c r="AK20" s="10"/>
      <c r="AL20" s="7">
        <f>SUM(G20:AK20)</f>
        <v>6</v>
      </c>
      <c r="AM20" s="6">
        <v>2150</v>
      </c>
      <c r="AN20" s="5">
        <f>AL20*AM20</f>
        <v>12900</v>
      </c>
      <c r="AO20"/>
    </row>
    <row r="21" spans="1:41" ht="16.2" thickBot="1" x14ac:dyDescent="0.35">
      <c r="A21" s="47"/>
      <c r="B21" s="41"/>
      <c r="C21" s="44"/>
      <c r="D21" s="44"/>
      <c r="E21" s="44"/>
      <c r="F21" s="11">
        <v>0.66666666666666663</v>
      </c>
      <c r="G21" s="10"/>
      <c r="H21" s="9"/>
      <c r="I21" s="10"/>
      <c r="J21" s="10"/>
      <c r="K21" s="9"/>
      <c r="L21" s="9"/>
      <c r="M21" s="9"/>
      <c r="N21" s="9"/>
      <c r="O21" s="9"/>
      <c r="P21" s="10">
        <v>1</v>
      </c>
      <c r="Q21" s="10"/>
      <c r="R21" s="9"/>
      <c r="S21" s="9"/>
      <c r="T21" s="9">
        <v>1</v>
      </c>
      <c r="U21" s="9">
        <v>1</v>
      </c>
      <c r="V21" s="9">
        <v>1</v>
      </c>
      <c r="W21" s="10">
        <v>1</v>
      </c>
      <c r="X21" s="10"/>
      <c r="Y21" s="9">
        <v>1</v>
      </c>
      <c r="Z21" s="9">
        <v>1</v>
      </c>
      <c r="AA21" s="9">
        <v>1</v>
      </c>
      <c r="AB21" s="9">
        <v>1</v>
      </c>
      <c r="AC21" s="9">
        <v>1</v>
      </c>
      <c r="AD21" s="10"/>
      <c r="AE21" s="10"/>
      <c r="AF21" s="9"/>
      <c r="AG21" s="9"/>
      <c r="AH21" s="9">
        <v>1</v>
      </c>
      <c r="AI21" s="9"/>
      <c r="AJ21" s="9"/>
      <c r="AK21" s="10"/>
      <c r="AL21" s="7">
        <f>SUM(G21:AK21)</f>
        <v>11</v>
      </c>
      <c r="AM21" s="6">
        <v>2150</v>
      </c>
      <c r="AN21" s="5">
        <f>AL21*AM21</f>
        <v>23650</v>
      </c>
      <c r="AO21"/>
    </row>
    <row r="22" spans="1:41" ht="16.2" thickBot="1" x14ac:dyDescent="0.35">
      <c r="A22" s="47"/>
      <c r="B22" s="41"/>
      <c r="C22" s="44"/>
      <c r="D22" s="44"/>
      <c r="E22" s="44"/>
      <c r="F22" s="11">
        <v>0</v>
      </c>
      <c r="G22" s="10"/>
      <c r="H22" s="9"/>
      <c r="I22" s="10"/>
      <c r="J22" s="10">
        <v>1</v>
      </c>
      <c r="K22" s="9"/>
      <c r="L22" s="9"/>
      <c r="M22" s="9"/>
      <c r="N22" s="9"/>
      <c r="O22" s="9"/>
      <c r="P22" s="10"/>
      <c r="Q22" s="10"/>
      <c r="R22" s="9"/>
      <c r="S22" s="9"/>
      <c r="T22" s="9">
        <v>1</v>
      </c>
      <c r="U22" s="9">
        <v>1</v>
      </c>
      <c r="V22" s="9">
        <v>1</v>
      </c>
      <c r="W22" s="10"/>
      <c r="X22" s="10">
        <v>1</v>
      </c>
      <c r="Y22" s="9">
        <v>1</v>
      </c>
      <c r="Z22" s="9">
        <v>1</v>
      </c>
      <c r="AA22" s="9">
        <v>1</v>
      </c>
      <c r="AB22" s="9">
        <v>1</v>
      </c>
      <c r="AC22" s="9"/>
      <c r="AD22" s="10"/>
      <c r="AE22" s="10"/>
      <c r="AF22" s="9"/>
      <c r="AG22" s="9"/>
      <c r="AH22" s="9"/>
      <c r="AI22" s="9"/>
      <c r="AJ22" s="9"/>
      <c r="AK22" s="8"/>
      <c r="AL22" s="7">
        <f>SUM(G22:AK22)</f>
        <v>9</v>
      </c>
      <c r="AM22" s="6">
        <v>2150</v>
      </c>
      <c r="AN22" s="5">
        <f>AL22*AM22</f>
        <v>19350</v>
      </c>
      <c r="AO22"/>
    </row>
    <row r="23" spans="1:41" ht="16.2" thickBot="1" x14ac:dyDescent="0.35">
      <c r="A23" s="48"/>
      <c r="B23" s="42"/>
      <c r="C23" s="45"/>
      <c r="D23" s="45"/>
      <c r="E23" s="45"/>
      <c r="F23" s="11">
        <v>1.0416666666666666E-2</v>
      </c>
      <c r="G23" s="10"/>
      <c r="H23" s="9"/>
      <c r="I23" s="10"/>
      <c r="J23" s="10"/>
      <c r="K23" s="9"/>
      <c r="L23" s="9"/>
      <c r="M23" s="9">
        <v>1</v>
      </c>
      <c r="N23" s="9">
        <v>1</v>
      </c>
      <c r="O23" s="9">
        <v>1</v>
      </c>
      <c r="P23" s="10"/>
      <c r="Q23" s="10"/>
      <c r="R23" s="9"/>
      <c r="S23" s="9"/>
      <c r="T23" s="9"/>
      <c r="U23" s="9"/>
      <c r="V23" s="9"/>
      <c r="W23" s="10"/>
      <c r="X23" s="10"/>
      <c r="Y23" s="9"/>
      <c r="Z23" s="9"/>
      <c r="AA23" s="9"/>
      <c r="AB23" s="9"/>
      <c r="AC23" s="9"/>
      <c r="AD23" s="10"/>
      <c r="AE23" s="10"/>
      <c r="AF23" s="9">
        <v>1</v>
      </c>
      <c r="AG23" s="9">
        <v>1</v>
      </c>
      <c r="AH23" s="9"/>
      <c r="AI23" s="9"/>
      <c r="AJ23" s="9"/>
      <c r="AK23" s="8"/>
      <c r="AL23" s="7">
        <f>SUM(G23:AK23)</f>
        <v>5</v>
      </c>
      <c r="AM23" s="6">
        <v>2150</v>
      </c>
      <c r="AN23" s="5">
        <f>AL23*AM23</f>
        <v>10750</v>
      </c>
    </row>
    <row r="24" spans="1:41" ht="16.2" thickBot="1" x14ac:dyDescent="0.35">
      <c r="A24" s="30" t="s">
        <v>3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1"/>
      <c r="AL24" s="12">
        <f>SUM(G14:AK23)</f>
        <v>75</v>
      </c>
      <c r="AM24" s="34">
        <f>SUM(AN14:AN23)</f>
        <v>116150</v>
      </c>
      <c r="AN24" s="35"/>
    </row>
    <row r="25" spans="1:41" ht="16.2" customHeight="1" thickBot="1" x14ac:dyDescent="0.35">
      <c r="A25" s="46">
        <v>3</v>
      </c>
      <c r="B25" s="40" t="s">
        <v>7</v>
      </c>
      <c r="C25" s="43" t="s">
        <v>6</v>
      </c>
      <c r="D25" s="43" t="s">
        <v>5</v>
      </c>
      <c r="E25" s="43" t="s">
        <v>4</v>
      </c>
      <c r="F25" s="11">
        <v>0.33333333333333331</v>
      </c>
      <c r="G25" s="10"/>
      <c r="H25" s="9"/>
      <c r="I25" s="10"/>
      <c r="J25" s="10"/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10">
        <v>1</v>
      </c>
      <c r="Q25" s="10"/>
      <c r="R25" s="9">
        <v>1</v>
      </c>
      <c r="S25" s="9">
        <v>1</v>
      </c>
      <c r="T25" s="9">
        <v>1</v>
      </c>
      <c r="U25" s="9">
        <v>1</v>
      </c>
      <c r="V25" s="9">
        <v>1</v>
      </c>
      <c r="W25" s="10">
        <v>1</v>
      </c>
      <c r="X25" s="10"/>
      <c r="Y25" s="9">
        <v>1</v>
      </c>
      <c r="Z25" s="9">
        <v>1</v>
      </c>
      <c r="AA25" s="9">
        <v>1</v>
      </c>
      <c r="AB25" s="9">
        <v>1</v>
      </c>
      <c r="AC25" s="9">
        <v>1</v>
      </c>
      <c r="AD25" s="10"/>
      <c r="AE25" s="10"/>
      <c r="AF25" s="9">
        <v>1</v>
      </c>
      <c r="AG25" s="9">
        <v>1</v>
      </c>
      <c r="AH25" s="9"/>
      <c r="AI25" s="9"/>
      <c r="AJ25" s="9"/>
      <c r="AK25" s="10"/>
      <c r="AL25" s="7">
        <f>SUM(G25:AK25)</f>
        <v>19</v>
      </c>
      <c r="AM25" s="6">
        <v>2150</v>
      </c>
      <c r="AN25" s="5">
        <f>AL25*AM25</f>
        <v>40850</v>
      </c>
    </row>
    <row r="26" spans="1:41" ht="16.2" thickBot="1" x14ac:dyDescent="0.35">
      <c r="A26" s="47"/>
      <c r="B26" s="41"/>
      <c r="C26" s="44"/>
      <c r="D26" s="44"/>
      <c r="E26" s="44"/>
      <c r="F26" s="11">
        <v>0.66666666666666663</v>
      </c>
      <c r="G26" s="10"/>
      <c r="H26" s="9"/>
      <c r="I26" s="10"/>
      <c r="J26" s="10"/>
      <c r="K26" s="9"/>
      <c r="L26" s="9"/>
      <c r="M26" s="9"/>
      <c r="N26" s="9"/>
      <c r="O26" s="9"/>
      <c r="P26" s="10">
        <v>1</v>
      </c>
      <c r="Q26" s="10"/>
      <c r="R26" s="9"/>
      <c r="S26" s="9"/>
      <c r="T26" s="9"/>
      <c r="U26" s="9"/>
      <c r="V26" s="9"/>
      <c r="W26" s="10">
        <v>1</v>
      </c>
      <c r="X26" s="10"/>
      <c r="Y26" s="9"/>
      <c r="Z26" s="9"/>
      <c r="AA26" s="9"/>
      <c r="AB26" s="9"/>
      <c r="AC26" s="9"/>
      <c r="AD26" s="10"/>
      <c r="AE26" s="10"/>
      <c r="AF26" s="9"/>
      <c r="AG26" s="9"/>
      <c r="AH26" s="9"/>
      <c r="AI26" s="9"/>
      <c r="AJ26" s="9"/>
      <c r="AK26" s="10"/>
      <c r="AL26" s="7">
        <f>SUM(G26:AK26)</f>
        <v>2</v>
      </c>
      <c r="AM26" s="6">
        <v>2150</v>
      </c>
      <c r="AN26" s="5">
        <f>AL26*AM26</f>
        <v>4300</v>
      </c>
    </row>
    <row r="27" spans="1:41" ht="16.2" thickBot="1" x14ac:dyDescent="0.35">
      <c r="A27" s="48"/>
      <c r="B27" s="42"/>
      <c r="C27" s="45"/>
      <c r="D27" s="45"/>
      <c r="E27" s="45"/>
      <c r="F27" s="11">
        <v>0</v>
      </c>
      <c r="G27" s="10"/>
      <c r="H27" s="9"/>
      <c r="I27" s="10"/>
      <c r="J27" s="10"/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10"/>
      <c r="Q27" s="10"/>
      <c r="R27" s="9">
        <v>1</v>
      </c>
      <c r="S27" s="9">
        <v>1</v>
      </c>
      <c r="T27" s="9">
        <v>1</v>
      </c>
      <c r="U27" s="9">
        <v>1</v>
      </c>
      <c r="V27" s="9">
        <v>1</v>
      </c>
      <c r="W27" s="10"/>
      <c r="X27" s="10"/>
      <c r="Y27" s="9">
        <v>1</v>
      </c>
      <c r="Z27" s="9">
        <v>1</v>
      </c>
      <c r="AA27" s="9">
        <v>1</v>
      </c>
      <c r="AB27" s="9">
        <v>1</v>
      </c>
      <c r="AC27" s="9">
        <v>1</v>
      </c>
      <c r="AD27" s="10"/>
      <c r="AE27" s="10"/>
      <c r="AF27" s="9">
        <v>1</v>
      </c>
      <c r="AG27" s="9">
        <v>1</v>
      </c>
      <c r="AH27" s="9"/>
      <c r="AI27" s="9"/>
      <c r="AJ27" s="9"/>
      <c r="AK27" s="8"/>
      <c r="AL27" s="7">
        <f>SUM(G27:AK27)</f>
        <v>17</v>
      </c>
      <c r="AM27" s="6">
        <v>2150</v>
      </c>
      <c r="AN27" s="5">
        <f>AL27*AM27</f>
        <v>36550</v>
      </c>
    </row>
    <row r="28" spans="1:41" ht="16.2" thickBot="1" x14ac:dyDescent="0.35">
      <c r="A28" s="30" t="s">
        <v>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1"/>
      <c r="AL28" s="4">
        <f>SUM(G25:AK27)</f>
        <v>38</v>
      </c>
      <c r="AM28" s="34">
        <f>SUM(AN25:AN27)</f>
        <v>81700</v>
      </c>
      <c r="AN28" s="35"/>
    </row>
    <row r="29" spans="1:41" ht="16.2" thickBot="1" x14ac:dyDescent="0.35">
      <c r="A29" s="39" t="s">
        <v>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">
        <f>SUM(AL28,AL24,AL13)</f>
        <v>189</v>
      </c>
      <c r="AM29" s="37">
        <f>SUM(AM28,AM24,AM13)</f>
        <v>314100</v>
      </c>
      <c r="AN29" s="38"/>
    </row>
    <row r="31" spans="1:41" ht="16.2" thickBot="1" x14ac:dyDescent="0.35"/>
    <row r="32" spans="1:41" ht="16.2" thickBot="1" x14ac:dyDescent="0.35">
      <c r="AL32" s="36" t="s">
        <v>1</v>
      </c>
      <c r="AM32" s="36"/>
      <c r="AN32" s="2">
        <f>SUM(AL3:AL8,AL14:AL19)</f>
        <v>45</v>
      </c>
    </row>
    <row r="33" spans="38:40" ht="16.2" thickBot="1" x14ac:dyDescent="0.35">
      <c r="AL33" s="36" t="s">
        <v>0</v>
      </c>
      <c r="AM33" s="36"/>
      <c r="AN33" s="2">
        <f>SUM(AL9:AL12,AL20:AL23,AL25:AL27)</f>
        <v>99</v>
      </c>
    </row>
  </sheetData>
  <mergeCells count="46">
    <mergeCell ref="E9:E12"/>
    <mergeCell ref="B1:AN1"/>
    <mergeCell ref="A3:A12"/>
    <mergeCell ref="B3:B12"/>
    <mergeCell ref="C3:C12"/>
    <mergeCell ref="D3:D12"/>
    <mergeCell ref="E3:E8"/>
    <mergeCell ref="AL3:AL4"/>
    <mergeCell ref="AM3:AM4"/>
    <mergeCell ref="AN3:AN4"/>
    <mergeCell ref="AL5:AL6"/>
    <mergeCell ref="AM5:AM6"/>
    <mergeCell ref="AN5:AN6"/>
    <mergeCell ref="AL7:AL8"/>
    <mergeCell ref="AM7:AM8"/>
    <mergeCell ref="AN7:AN8"/>
    <mergeCell ref="A13:AK13"/>
    <mergeCell ref="AM13:AN13"/>
    <mergeCell ref="A14:A23"/>
    <mergeCell ref="B14:B23"/>
    <mergeCell ref="C14:C23"/>
    <mergeCell ref="D14:D23"/>
    <mergeCell ref="E14:E19"/>
    <mergeCell ref="AL14:AL15"/>
    <mergeCell ref="AM14:AM15"/>
    <mergeCell ref="AN14:AN15"/>
    <mergeCell ref="AL16:AL17"/>
    <mergeCell ref="AM16:AM17"/>
    <mergeCell ref="AN16:AN17"/>
    <mergeCell ref="AL18:AL19"/>
    <mergeCell ref="AM18:AM19"/>
    <mergeCell ref="AN18:AN19"/>
    <mergeCell ref="AL33:AM33"/>
    <mergeCell ref="E20:E23"/>
    <mergeCell ref="A24:AK24"/>
    <mergeCell ref="AM24:AN24"/>
    <mergeCell ref="A25:A27"/>
    <mergeCell ref="B25:B27"/>
    <mergeCell ref="C25:C27"/>
    <mergeCell ref="D25:D27"/>
    <mergeCell ref="E25:E27"/>
    <mergeCell ref="A28:AK28"/>
    <mergeCell ref="AM28:AN28"/>
    <mergeCell ref="A29:AK29"/>
    <mergeCell ref="AM29:AN29"/>
    <mergeCell ref="AL32:AM32"/>
  </mergeCells>
  <printOptions horizontalCentered="1"/>
  <pageMargins left="0" right="0" top="0.59055118110236227" bottom="0" header="0" footer="0"/>
  <pageSetup paperSize="9" scale="68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OLAN</vt:lpstr>
      <vt:lpstr>OLMASI İSTENEN</vt:lpstr>
      <vt:lpstr>OLAN!Yazdırma_Alanı</vt:lpstr>
      <vt:lpstr>'OLMASI İSTENEN'!Yazdırma_Alanı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DA52483</dc:creator>
  <cp:lastModifiedBy>DA52483</cp:lastModifiedBy>
  <dcterms:created xsi:type="dcterms:W3CDTF">2026-03-09T08:31:10Z</dcterms:created>
  <dcterms:modified xsi:type="dcterms:W3CDTF">2026-03-09T20:05:17Z</dcterms:modified>
</cp:coreProperties>
</file>