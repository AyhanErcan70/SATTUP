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60" windowWidth="19440" windowHeight="9828"/>
  </bookViews>
  <sheets>
    <sheet name="TEMMUZ 2025" sheetId="2" r:id="rId1"/>
  </sheets>
  <definedNames>
    <definedName name="_xlnm.Print_Area" localSheetId="0">'TEMMUZ 2025'!$A$1:$AM$113</definedName>
  </definedNames>
  <calcPr calcId="162913"/>
</workbook>
</file>

<file path=xl/calcChain.xml><?xml version="1.0" encoding="utf-8"?>
<calcChain xmlns="http://schemas.openxmlformats.org/spreadsheetml/2006/main">
  <c r="AJ53" i="2" l="1"/>
  <c r="AK53" i="2" s="1"/>
  <c r="AM53" i="2" s="1"/>
  <c r="D65" i="2" l="1"/>
  <c r="AJ38" i="2" l="1"/>
  <c r="AK38" i="2" s="1"/>
  <c r="AM38" i="2" s="1"/>
  <c r="AI65" i="2" l="1"/>
  <c r="AB65" i="2"/>
  <c r="AD65" i="2"/>
  <c r="W65" i="2"/>
  <c r="P65" i="2"/>
  <c r="AJ64" i="2" l="1"/>
  <c r="AJ63" i="2" l="1"/>
  <c r="AK64" i="2" l="1"/>
  <c r="S65" i="2" l="1"/>
  <c r="AJ52" i="2" l="1"/>
  <c r="AJ50" i="2"/>
  <c r="AJ21" i="2"/>
  <c r="AK21" i="2" s="1"/>
  <c r="AM21" i="2" s="1"/>
  <c r="I65" i="2" l="1"/>
  <c r="J65" i="2"/>
  <c r="K65" i="2"/>
  <c r="L65" i="2"/>
  <c r="M65" i="2"/>
  <c r="N65" i="2"/>
  <c r="O65" i="2"/>
  <c r="Q65" i="2"/>
  <c r="R65" i="2"/>
  <c r="T65" i="2"/>
  <c r="U65" i="2"/>
  <c r="V65" i="2"/>
  <c r="X65" i="2"/>
  <c r="Y65" i="2"/>
  <c r="Z65" i="2"/>
  <c r="AA65" i="2"/>
  <c r="AC65" i="2"/>
  <c r="AE65" i="2"/>
  <c r="AF65" i="2"/>
  <c r="AG65" i="2"/>
  <c r="AH65" i="2"/>
  <c r="H65" i="2"/>
  <c r="E65" i="2" l="1"/>
  <c r="F65" i="2"/>
  <c r="G65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9" i="2"/>
  <c r="AJ40" i="2"/>
  <c r="AJ41" i="2"/>
  <c r="AJ42" i="2"/>
  <c r="AJ43" i="2"/>
  <c r="AJ44" i="2"/>
  <c r="AJ45" i="2"/>
  <c r="AJ46" i="2"/>
  <c r="AJ47" i="2"/>
  <c r="AJ48" i="2"/>
  <c r="AJ49" i="2"/>
  <c r="AJ51" i="2"/>
  <c r="AJ54" i="2"/>
  <c r="AJ55" i="2"/>
  <c r="AJ56" i="2"/>
  <c r="AJ57" i="2"/>
  <c r="AJ58" i="2"/>
  <c r="AJ59" i="2"/>
  <c r="AJ60" i="2"/>
  <c r="AJ61" i="2"/>
  <c r="AJ62" i="2"/>
  <c r="AJ65" i="2" l="1"/>
  <c r="AJ84" i="2"/>
  <c r="AK84" i="2" s="1"/>
  <c r="AM84" i="2" s="1"/>
  <c r="AM64" i="2" l="1"/>
  <c r="AJ83" i="2" l="1"/>
  <c r="AK83" i="2" s="1"/>
  <c r="AM83" i="2" s="1"/>
  <c r="AJ82" i="2"/>
  <c r="AK82" i="2" s="1"/>
  <c r="AM82" i="2" s="1"/>
  <c r="AM85" i="2" l="1"/>
  <c r="AK51" i="2"/>
  <c r="AM51" i="2" s="1"/>
  <c r="AK24" i="2" l="1"/>
  <c r="AM24" i="2" s="1"/>
  <c r="AK25" i="2"/>
  <c r="AK61" i="2" l="1"/>
  <c r="AM61" i="2" s="1"/>
  <c r="AK59" i="2"/>
  <c r="AM59" i="2" s="1"/>
  <c r="AK56" i="2" l="1"/>
  <c r="AM56" i="2" s="1"/>
  <c r="AK57" i="2"/>
  <c r="AM57" i="2" s="1"/>
  <c r="AK18" i="2" l="1"/>
  <c r="AM18" i="2" s="1"/>
  <c r="AK58" i="2"/>
  <c r="AM58" i="2" s="1"/>
  <c r="AK52" i="2" l="1"/>
  <c r="AM52" i="2" s="1"/>
  <c r="AK12" i="2" l="1"/>
  <c r="AM12" i="2" s="1"/>
  <c r="AK50" i="2" l="1"/>
  <c r="AM50" i="2" s="1"/>
  <c r="AK54" i="2"/>
  <c r="AM54" i="2" s="1"/>
  <c r="AK23" i="2" l="1"/>
  <c r="AM23" i="2" s="1"/>
  <c r="AK22" i="2" l="1"/>
  <c r="AK48" i="2" l="1"/>
  <c r="AM48" i="2" s="1"/>
  <c r="AK47" i="2" l="1"/>
  <c r="AM47" i="2" s="1"/>
  <c r="AK63" i="2" l="1"/>
  <c r="AM63" i="2" l="1"/>
  <c r="AK46" i="2"/>
  <c r="AM46" i="2" s="1"/>
  <c r="AK45" i="2" l="1"/>
  <c r="AM45" i="2" s="1"/>
  <c r="AK40" i="2" l="1"/>
  <c r="AM40" i="2" s="1"/>
  <c r="AK16" i="2"/>
  <c r="AM16" i="2" s="1"/>
  <c r="AK13" i="2"/>
  <c r="AM13" i="2" s="1"/>
  <c r="AK37" i="2"/>
  <c r="AM37" i="2" s="1"/>
  <c r="AK33" i="2"/>
  <c r="AM33" i="2" s="1"/>
  <c r="AK35" i="2"/>
  <c r="AM35" i="2" s="1"/>
  <c r="AK36" i="2"/>
  <c r="AM36" i="2" s="1"/>
  <c r="AK5" i="2"/>
  <c r="AK62" i="2"/>
  <c r="AK60" i="2"/>
  <c r="AK49" i="2"/>
  <c r="AK44" i="2"/>
  <c r="AK43" i="2"/>
  <c r="AK42" i="2"/>
  <c r="AK41" i="2"/>
  <c r="AM41" i="2" s="1"/>
  <c r="AK39" i="2"/>
  <c r="AK34" i="2"/>
  <c r="AM34" i="2" s="1"/>
  <c r="AK32" i="2"/>
  <c r="AK31" i="2"/>
  <c r="AM31" i="2" s="1"/>
  <c r="AK55" i="2"/>
  <c r="AK30" i="2"/>
  <c r="AM30" i="2" s="1"/>
  <c r="AK29" i="2"/>
  <c r="AM29" i="2" s="1"/>
  <c r="AK28" i="2"/>
  <c r="AM28" i="2" s="1"/>
  <c r="AK27" i="2"/>
  <c r="AK26" i="2"/>
  <c r="AM26" i="2" s="1"/>
  <c r="AM22" i="2"/>
  <c r="AK20" i="2"/>
  <c r="AK19" i="2"/>
  <c r="AM19" i="2" s="1"/>
  <c r="AK17" i="2"/>
  <c r="AK15" i="2"/>
  <c r="AM15" i="2" s="1"/>
  <c r="AK14" i="2"/>
  <c r="AK11" i="2"/>
  <c r="AK10" i="2"/>
  <c r="AM10" i="2" s="1"/>
  <c r="AK9" i="2"/>
  <c r="AK8" i="2"/>
  <c r="AM8" i="2" s="1"/>
  <c r="AK7" i="2"/>
  <c r="AK6" i="2"/>
  <c r="AK4" i="2"/>
  <c r="AM4" i="2" s="1"/>
  <c r="AM25" i="2" l="1"/>
  <c r="AM55" i="2"/>
  <c r="AM5" i="2"/>
  <c r="AM14" i="2"/>
  <c r="AM17" i="2"/>
  <c r="AM20" i="2"/>
  <c r="AM27" i="2"/>
  <c r="AM32" i="2"/>
  <c r="AM39" i="2"/>
  <c r="AM42" i="2"/>
  <c r="AM44" i="2"/>
  <c r="AM49" i="2"/>
  <c r="AM62" i="2"/>
  <c r="AM7" i="2"/>
  <c r="AM9" i="2"/>
  <c r="AM11" i="2"/>
  <c r="AM6" i="2"/>
  <c r="AM43" i="2"/>
  <c r="AM60" i="2"/>
  <c r="AK3" i="2"/>
  <c r="AM3" i="2" s="1"/>
  <c r="AM66" i="2" l="1"/>
</calcChain>
</file>

<file path=xl/comments1.xml><?xml version="1.0" encoding="utf-8"?>
<comments xmlns="http://schemas.openxmlformats.org/spreadsheetml/2006/main">
  <authors>
    <author>Yazar</author>
  </authors>
  <commentList>
    <comment ref="O4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şeker mah.</t>
        </r>
      </text>
    </comment>
    <comment ref="T4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şeker mah.</t>
        </r>
      </text>
    </comment>
    <comment ref="U4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şeker mah.</t>
        </r>
      </text>
    </comment>
    <comment ref="V4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kuzey terminali</t>
        </r>
      </text>
    </comment>
    <comment ref="H6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ozanlar-kuzey terminali-e.garajlar-y.cami- p.hali</t>
        </r>
      </text>
    </comment>
    <comment ref="O6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ozanlar-kuzey terminali-e.garajlar-y.cami- p.hali</t>
        </r>
      </text>
    </comment>
    <comment ref="T6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ozanlar-kuzey terminali-e.garajlar-y.cami- p.hali</t>
        </r>
      </text>
    </comment>
    <comment ref="AC6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ozanlar-kuzey terminali-e.garajlar-y.cami- p.hali</t>
        </r>
      </text>
    </comment>
    <comment ref="AB7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arıza</t>
        </r>
      </text>
    </comment>
    <comment ref="U8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korucuk camili karaman yazlık</t>
        </r>
      </text>
    </comment>
    <comment ref="V8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korucuk camili karaman yazlık</t>
        </r>
      </text>
    </comment>
    <comment ref="T14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korucuk camili karaman yazlık</t>
        </r>
      </text>
    </comment>
    <comment ref="AC14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korucuk camili karaman yazlık</t>
        </r>
      </text>
    </comment>
    <comment ref="H15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serdivan</t>
        </r>
      </text>
    </comment>
    <comment ref="O15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serdivan</t>
        </r>
      </text>
    </comment>
    <comment ref="T15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serdivan</t>
        </r>
      </text>
    </comment>
    <comment ref="U15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serdivan</t>
        </r>
      </text>
    </comment>
    <comment ref="V15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serdivan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ARAÇ DEĞİŞTİ 17 KİŞİLİK ARAÇ
29 KİŞİLİK OLDU</t>
        </r>
      </text>
    </comment>
    <comment ref="U20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ozanlar-kuzey terminali-e.garajlar-y.cami- p.hali</t>
        </r>
      </text>
    </comment>
    <comment ref="V20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ozanlar-kuzey terminali-e.garajlar-y.cami- p.hali</t>
        </r>
      </text>
    </comment>
    <comment ref="Z36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arıza</t>
        </r>
      </text>
    </comment>
    <comment ref="D39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ARAÇ 27 KİŞİLİKTEN 17 KİŞİLİĞE DÜŞÜRÜLDÜ</t>
        </r>
      </text>
    </comment>
    <comment ref="D53" authorId="0" shapeId="0">
      <text>
        <r>
          <rPr>
            <b/>
            <sz val="9"/>
            <color indexed="81"/>
            <rFont val="Tahoma"/>
            <charset val="1"/>
          </rPr>
          <t>Yazar:</t>
        </r>
        <r>
          <rPr>
            <sz val="9"/>
            <color indexed="81"/>
            <rFont val="Tahoma"/>
            <charset val="1"/>
          </rPr>
          <t xml:space="preserve">
ÇÖKEKLER BUDAKLAR SERVİSİ GÜNEŞLER-YORGALAR-OTTOMAN-OLARAK OTOBÜS OLDU(OTTOMAN-IŞIKLAR CAMİ-ERNAZ SERVİSİ KALDIRILDI ) </t>
        </r>
      </text>
    </comment>
    <comment ref="AH59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EMİRCAN</t>
        </r>
      </text>
    </comment>
    <comment ref="E83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emrah kutlu
</t>
        </r>
      </text>
    </comment>
    <comment ref="O83" authorId="0" shape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akşam akın başladı</t>
        </r>
      </text>
    </comment>
  </commentList>
</comments>
</file>

<file path=xl/sharedStrings.xml><?xml version="1.0" encoding="utf-8"?>
<sst xmlns="http://schemas.openxmlformats.org/spreadsheetml/2006/main" count="145" uniqueCount="123">
  <si>
    <t>OZANLAR</t>
  </si>
  <si>
    <t>GÜZERGAH</t>
  </si>
  <si>
    <t>ARAÇ SAHİBİ</t>
  </si>
  <si>
    <t>SRV</t>
  </si>
  <si>
    <t>GÜN</t>
  </si>
  <si>
    <t>FİYAT</t>
  </si>
  <si>
    <t>TOPLAM</t>
  </si>
  <si>
    <t>YALÇIN DAMAR</t>
  </si>
  <si>
    <t>ME.SERDAROĞLU</t>
  </si>
  <si>
    <t>UFUK KÖYMEN</t>
  </si>
  <si>
    <t>SAMET ERİŞİR</t>
  </si>
  <si>
    <t>SALİH ÖZTAŞ</t>
  </si>
  <si>
    <t>U.KÖYMEN</t>
  </si>
  <si>
    <t>VRD. KORUCUK</t>
  </si>
  <si>
    <t>ELİK TUR 1</t>
  </si>
  <si>
    <t>PATATES HALİ</t>
  </si>
  <si>
    <t>MESAİ</t>
  </si>
  <si>
    <t>RAMİS GÜMÜŞ</t>
  </si>
  <si>
    <t>ÇATAL KÖPRÜ</t>
  </si>
  <si>
    <t>ESENCE 2/BEK.PAŞA</t>
  </si>
  <si>
    <t>ESENCE 1- B.ESENCE</t>
  </si>
  <si>
    <t>VEYSEL KARATAŞ</t>
  </si>
  <si>
    <t xml:space="preserve">ŞEKER MAH. MESAİ </t>
  </si>
  <si>
    <t>20.30</t>
  </si>
  <si>
    <t>ÇARŞI MESAİ - 20.30</t>
  </si>
  <si>
    <t>SERDİVAN AVM-20.30</t>
  </si>
  <si>
    <t>MEHMET ANLAŞ</t>
  </si>
  <si>
    <t>GÜVEN TUR</t>
  </si>
  <si>
    <t>GÜLLÜK CAMİ-TEK</t>
  </si>
  <si>
    <t>GEYVE</t>
  </si>
  <si>
    <t>YENİ CAMİ MESAİ</t>
  </si>
  <si>
    <t>UĞUR/ERGEZEN</t>
  </si>
  <si>
    <t xml:space="preserve"> MESAİ</t>
  </si>
  <si>
    <t>İBRAHİM AKKUŞ</t>
  </si>
  <si>
    <t>M. ANLAŞ</t>
  </si>
  <si>
    <t>K.PAŞA-ADATIP TEK</t>
  </si>
  <si>
    <t>EMİRCAN KURT</t>
  </si>
  <si>
    <t>TÜRBE-HIZIRTEPE</t>
  </si>
  <si>
    <t>08/16/24</t>
  </si>
  <si>
    <t>DAĞ DİBİ/ÇEV.YOLU</t>
  </si>
  <si>
    <t>ERMAN TUR</t>
  </si>
  <si>
    <t xml:space="preserve">AKYAZI 2 </t>
  </si>
  <si>
    <t>SERKAN AKKOYUN</t>
  </si>
  <si>
    <t>AR.KAP.</t>
  </si>
  <si>
    <t>SAFFET DİN</t>
  </si>
  <si>
    <t>AKYAZI -1</t>
  </si>
  <si>
    <t>AŞIRLAR-YAZLIK</t>
  </si>
  <si>
    <t xml:space="preserve">SERDVN 1 </t>
  </si>
  <si>
    <t>A.TUR 54 S 0564</t>
  </si>
  <si>
    <t>A.TUR 54 S 0565</t>
  </si>
  <si>
    <t>RAMİS GÜMÜŞ-1</t>
  </si>
  <si>
    <t>BEŞEVLER/ALANDÜZÜ</t>
  </si>
  <si>
    <t>VARİYA ÇARŞI -2</t>
  </si>
  <si>
    <t xml:space="preserve">  20.30 MESAİ</t>
  </si>
  <si>
    <t>Ç.KÖPRÜ AKYAZI MESAİ</t>
  </si>
  <si>
    <t>MESAİ  20.00</t>
  </si>
  <si>
    <t>ERNAZ YORGLAR MAH.</t>
  </si>
  <si>
    <t>İSM  OTOMOTİV</t>
  </si>
  <si>
    <t>REMZİ DORUK</t>
  </si>
  <si>
    <t xml:space="preserve"> RAMZAN YILMAZ</t>
  </si>
  <si>
    <t>KRC-MESAİ OTB-20.30</t>
  </si>
  <si>
    <t>ASİL TUR 54 S 0257</t>
  </si>
  <si>
    <t>A. TUR-  54 S 0562</t>
  </si>
  <si>
    <t>Y. DAMAR  MİN</t>
  </si>
  <si>
    <r>
      <t>K.PAŞA-A.DÜZ MS-</t>
    </r>
    <r>
      <rPr>
        <b/>
        <sz val="9"/>
        <rFont val="Times New Roman"/>
        <family val="1"/>
        <charset val="162"/>
      </rPr>
      <t>20.30</t>
    </r>
  </si>
  <si>
    <t xml:space="preserve">EMİN DİNDAROĞLU </t>
  </si>
  <si>
    <t>K.PRÇK-EK. -Ç.BAŞI MS</t>
  </si>
  <si>
    <t>KADİR TUNCER 1</t>
  </si>
  <si>
    <t>KADİR TUNCER  2</t>
  </si>
  <si>
    <t>KA.PÜRÇEK-EKNLİ-Ç.BAŞI</t>
  </si>
  <si>
    <t>ARİFİYE - HANLIKÖY</t>
  </si>
  <si>
    <t>ARİFİYE- AÇMALAR</t>
  </si>
  <si>
    <t>ARİFİYE-1 MERKEZ</t>
  </si>
  <si>
    <t>VRD. ÇARŞI</t>
  </si>
  <si>
    <t xml:space="preserve">VEYSEL KARATAŞ </t>
  </si>
  <si>
    <t>ÇARŞI GECE MESAİ</t>
  </si>
  <si>
    <t>GÖKHAN IŞIK-suat kılıç</t>
  </si>
  <si>
    <r>
      <rPr>
        <b/>
        <sz val="9"/>
        <rFont val="Times New Roman"/>
        <family val="1"/>
        <charset val="162"/>
      </rPr>
      <t>GÖKHAN IŞIK</t>
    </r>
    <r>
      <rPr>
        <b/>
        <sz val="8"/>
        <rFont val="Times New Roman"/>
        <family val="1"/>
        <charset val="162"/>
      </rPr>
      <t>-M.Kah.oğl</t>
    </r>
  </si>
  <si>
    <t>GÜNŞLR-OTTOMAN-Y.STD.</t>
  </si>
  <si>
    <t>SRDVN-M. DRAK-KAMPÜS</t>
  </si>
  <si>
    <t>Ş.FAB.E.STAD-KENT PARK</t>
  </si>
  <si>
    <t>32 EVLR.BEŞ KÖPRÜ</t>
  </si>
  <si>
    <t>KORUCUK 1</t>
  </si>
  <si>
    <t>CAMİLİ.1-KARAMAN 1</t>
  </si>
  <si>
    <t>ŞEKER MH.MUHTARLIK</t>
  </si>
  <si>
    <t>Ş.MAH. İLAV H.OĞLU-Ç.PZ</t>
  </si>
  <si>
    <t>Y.CAMİ-MRKZ-İŞ BNK.</t>
  </si>
  <si>
    <t>GNŞLER-E.GRJ-E.OKULU</t>
  </si>
  <si>
    <t>FATİH.E.MES.K.DİB-TUZLA</t>
  </si>
  <si>
    <t>SRD.2 ARABACI ALAN-LOJ.</t>
  </si>
  <si>
    <t>FERİZLİ-SÖĞÜTLÜ-AKRCA</t>
  </si>
  <si>
    <t>ÇARŞI-GÜNEŞLER-ERENLR</t>
  </si>
  <si>
    <t>ŞEKER MH.-SERD.-H.TEPE</t>
  </si>
  <si>
    <t>MUSTAFA ÖZTÜRK</t>
  </si>
  <si>
    <t>EMİRCAN KURT -1</t>
  </si>
  <si>
    <t>EMİRCAN KURT-2</t>
  </si>
  <si>
    <t xml:space="preserve"> GECE VRD. ARALIK</t>
  </si>
  <si>
    <r>
      <t xml:space="preserve">NURİ ŞAHİN </t>
    </r>
    <r>
      <rPr>
        <b/>
        <sz val="8"/>
        <color rgb="FFFF0000"/>
        <rFont val="Times New Roman"/>
        <family val="1"/>
        <charset val="162"/>
      </rPr>
      <t>( YAS.ŞHN)</t>
    </r>
  </si>
  <si>
    <t>TEK.LOJ.M.DRK MSİ 20.30</t>
  </si>
  <si>
    <t>KURTKÖY-SAPANCA</t>
  </si>
  <si>
    <t>VARİYA ÇARŞI -1 16 GİR/ÇIK</t>
  </si>
  <si>
    <t>Y.EMRE OCAK</t>
  </si>
  <si>
    <t>Ş.İÇİ VARD.GECE 24 ÇKŞ</t>
  </si>
  <si>
    <t>KARAMAN-E.KÖY-</t>
  </si>
  <si>
    <t>RAMAZAN YILMAZ</t>
  </si>
  <si>
    <t>24.00/08.00</t>
  </si>
  <si>
    <t>A. TUR  54 S 1173</t>
  </si>
  <si>
    <t>ASİL TUR 54 S 1194</t>
  </si>
  <si>
    <t xml:space="preserve">54 S …. ASİL </t>
  </si>
  <si>
    <t>ASİL 0857</t>
  </si>
  <si>
    <t>YENİ CAMİ /1 SALKO CAMİ</t>
  </si>
  <si>
    <t>TURAN TUR-1</t>
  </si>
  <si>
    <t>HAT İPTAL</t>
  </si>
  <si>
    <t>ÇÖKEKLER-BUDAKLAR GNŞLR</t>
  </si>
  <si>
    <t>GÜNŞLR-YOR.-OTTOMAN</t>
  </si>
  <si>
    <r>
      <t xml:space="preserve">ASİL TUR  </t>
    </r>
    <r>
      <rPr>
        <b/>
        <u/>
        <sz val="10"/>
        <color theme="4" tint="-0.249977111117893"/>
        <rFont val="Times New Roman"/>
        <family val="1"/>
        <charset val="162"/>
      </rPr>
      <t>54 S 0857</t>
    </r>
  </si>
  <si>
    <t>2025 TEMMUZ</t>
  </si>
  <si>
    <t>BAŞAK TRAKTÖR TEMMUZ  2025</t>
  </si>
  <si>
    <t>KRCK MES -20.30</t>
  </si>
  <si>
    <t>KORUCUK-EV.KÖY-YAZLIK</t>
  </si>
  <si>
    <r>
      <t xml:space="preserve">MEH.ELLİİKİ / </t>
    </r>
    <r>
      <rPr>
        <b/>
        <sz val="9"/>
        <color rgb="FFFF0000"/>
        <rFont val="Times New Roman"/>
        <family val="1"/>
        <charset val="162"/>
      </rPr>
      <t>AKIN</t>
    </r>
  </si>
  <si>
    <t>4 Gün Emrah Kutlu + 4,5 GÜN MEHMET ELLİİKİ + 11,5 GÜN AKIN NARİN ÇALIŞTI</t>
  </si>
  <si>
    <t>SERHAT TURAN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</si>
</sst>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TL&quot;"/>
    <numFmt numFmtId="165" formatCode="#,##0.0"/>
  </numFmts>
  <fonts count="34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10"/>
      <color theme="1"/>
      <name val="Calibri"/>
      <family val="2"/>
      <charset val="162"/>
      <scheme val="minor"/>
    </font>
    <font>
      <b/>
      <sz val="8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9"/>
      <color rgb="FFFF0000"/>
      <name val="Times New Roman"/>
      <family val="1"/>
      <charset val="162"/>
    </font>
    <font>
      <b/>
      <sz val="9"/>
      <color rgb="FF00B050"/>
      <name val="Times New Roman"/>
      <family val="1"/>
      <charset val="162"/>
    </font>
    <font>
      <b/>
      <sz val="9"/>
      <color theme="3" tint="0.39997558519241921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9"/>
      <color theme="1"/>
      <name val="Calibri"/>
      <family val="2"/>
      <charset val="162"/>
      <scheme val="minor"/>
    </font>
    <font>
      <sz val="9"/>
      <name val="Times New Roman"/>
      <family val="1"/>
      <charset val="162"/>
    </font>
    <font>
      <sz val="9"/>
      <color theme="1"/>
      <name val="Calibri"/>
      <family val="2"/>
      <charset val="162"/>
      <scheme val="minor"/>
    </font>
    <font>
      <b/>
      <sz val="9.5"/>
      <color rgb="FFFF0000"/>
      <name val="Calibri"/>
      <family val="2"/>
      <charset val="162"/>
      <scheme val="minor"/>
    </font>
    <font>
      <b/>
      <sz val="9.5"/>
      <name val="Calibri"/>
      <family val="2"/>
      <charset val="162"/>
      <scheme val="minor"/>
    </font>
    <font>
      <b/>
      <sz val="9.5"/>
      <name val="Times New Roman"/>
      <family val="1"/>
      <charset val="162"/>
    </font>
    <font>
      <b/>
      <sz val="8"/>
      <color rgb="FFFF0000"/>
      <name val="Times New Roman"/>
      <family val="1"/>
      <charset val="162"/>
    </font>
    <font>
      <b/>
      <sz val="9"/>
      <color theme="4" tint="-0.249977111117893"/>
      <name val="Times New Roman"/>
      <family val="1"/>
      <charset val="162"/>
    </font>
    <font>
      <b/>
      <sz val="9.5"/>
      <color theme="1"/>
      <name val="Calibri"/>
      <family val="2"/>
      <charset val="162"/>
      <scheme val="minor"/>
    </font>
    <font>
      <sz val="8"/>
      <color rgb="FFFF0000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7"/>
      <name val="Times New Roman"/>
      <family val="1"/>
      <charset val="162"/>
    </font>
    <font>
      <b/>
      <sz val="10"/>
      <color rgb="FF00B050"/>
      <name val="Times New Roman"/>
      <family val="1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.5"/>
      <color theme="4" tint="-0.249977111117893"/>
      <name val="Times New Roman"/>
      <family val="1"/>
      <charset val="162"/>
    </font>
    <font>
      <b/>
      <sz val="9"/>
      <color theme="8" tint="-0.249977111117893"/>
      <name val="Times New Roman"/>
      <family val="1"/>
      <charset val="162"/>
    </font>
    <font>
      <b/>
      <sz val="10"/>
      <color theme="4" tint="-0.249977111117893"/>
      <name val="Times New Roman"/>
      <family val="1"/>
      <charset val="162"/>
    </font>
    <font>
      <b/>
      <u/>
      <sz val="10"/>
      <color theme="4" tint="-0.249977111117893"/>
      <name val="Times New Roman"/>
      <family val="1"/>
      <charset val="162"/>
    </font>
    <font>
      <b/>
      <sz val="11"/>
      <color theme="1"/>
      <name val="Times New Roman"/>
      <family val="1"/>
      <charset val="16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/>
      <diagonal/>
    </border>
    <border>
      <left style="thick">
        <color auto="1"/>
      </left>
      <right/>
      <top style="double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  <border>
      <left style="double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thick">
        <color auto="1"/>
      </top>
      <bottom style="thick">
        <color indexed="64"/>
      </bottom>
      <diagonal/>
    </border>
    <border>
      <left/>
      <right/>
      <top style="thick">
        <color auto="1"/>
      </top>
      <bottom style="thick">
        <color indexed="64"/>
      </bottom>
      <diagonal/>
    </border>
    <border>
      <left/>
      <right style="medium">
        <color indexed="64"/>
      </right>
      <top style="thick">
        <color auto="1"/>
      </top>
      <bottom style="thick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1" fillId="0" borderId="0" xfId="0" applyFont="1"/>
    <xf numFmtId="0" fontId="0" fillId="0" borderId="3" xfId="0" applyFont="1" applyBorder="1"/>
    <xf numFmtId="0" fontId="0" fillId="0" borderId="17" xfId="0" applyBorder="1"/>
    <xf numFmtId="0" fontId="2" fillId="2" borderId="16" xfId="0" applyFont="1" applyFill="1" applyBorder="1" applyAlignment="1">
      <alignment horizontal="center"/>
    </xf>
    <xf numFmtId="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8" fillId="2" borderId="14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/>
    </xf>
    <xf numFmtId="164" fontId="8" fillId="2" borderId="4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8" fillId="2" borderId="23" xfId="0" applyNumberFormat="1" applyFont="1" applyFill="1" applyBorder="1" applyAlignment="1">
      <alignment horizontal="center"/>
    </xf>
    <xf numFmtId="20" fontId="8" fillId="3" borderId="6" xfId="0" applyNumberFormat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4" fontId="8" fillId="2" borderId="20" xfId="0" applyNumberFormat="1" applyFont="1" applyFill="1" applyBorder="1" applyAlignment="1">
      <alignment horizontal="center"/>
    </xf>
    <xf numFmtId="1" fontId="8" fillId="2" borderId="5" xfId="0" applyNumberFormat="1" applyFont="1" applyFill="1" applyBorder="1" applyAlignment="1">
      <alignment horizontal="center"/>
    </xf>
    <xf numFmtId="164" fontId="8" fillId="2" borderId="26" xfId="0" applyNumberFormat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3" fillId="2" borderId="9" xfId="0" applyFont="1" applyFill="1" applyBorder="1"/>
    <xf numFmtId="164" fontId="8" fillId="4" borderId="14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2" borderId="49" xfId="0" applyFont="1" applyFill="1" applyBorder="1" applyAlignment="1">
      <alignment horizontal="left"/>
    </xf>
    <xf numFmtId="0" fontId="8" fillId="2" borderId="42" xfId="0" applyFont="1" applyFill="1" applyBorder="1" applyAlignment="1">
      <alignment horizontal="center"/>
    </xf>
    <xf numFmtId="20" fontId="8" fillId="2" borderId="23" xfId="0" applyNumberFormat="1" applyFont="1" applyFill="1" applyBorder="1" applyAlignment="1">
      <alignment horizontal="center"/>
    </xf>
    <xf numFmtId="0" fontId="8" fillId="2" borderId="30" xfId="0" applyFont="1" applyFill="1" applyBorder="1" applyAlignment="1">
      <alignment horizontal="left"/>
    </xf>
    <xf numFmtId="1" fontId="8" fillId="2" borderId="16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left"/>
    </xf>
    <xf numFmtId="1" fontId="8" fillId="2" borderId="14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/>
    </xf>
    <xf numFmtId="1" fontId="8" fillId="2" borderId="4" xfId="0" applyNumberFormat="1" applyFont="1" applyFill="1" applyBorder="1" applyAlignment="1">
      <alignment horizontal="center"/>
    </xf>
    <xf numFmtId="0" fontId="11" fillId="3" borderId="2" xfId="0" applyFont="1" applyFill="1" applyBorder="1" applyAlignment="1">
      <alignment horizontal="left"/>
    </xf>
    <xf numFmtId="1" fontId="11" fillId="3" borderId="1" xfId="0" applyNumberFormat="1" applyFont="1" applyFill="1" applyBorder="1" applyAlignment="1">
      <alignment horizontal="center"/>
    </xf>
    <xf numFmtId="0" fontId="12" fillId="2" borderId="49" xfId="0" applyFont="1" applyFill="1" applyBorder="1" applyAlignment="1">
      <alignment horizontal="left"/>
    </xf>
    <xf numFmtId="1" fontId="8" fillId="2" borderId="23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left"/>
    </xf>
    <xf numFmtId="0" fontId="8" fillId="2" borderId="26" xfId="0" applyFont="1" applyFill="1" applyBorder="1" applyAlignment="1">
      <alignment horizontal="left"/>
    </xf>
    <xf numFmtId="0" fontId="8" fillId="2" borderId="26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left"/>
    </xf>
    <xf numFmtId="1" fontId="8" fillId="3" borderId="1" xfId="0" applyNumberFormat="1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1" fontId="8" fillId="2" borderId="47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0" fontId="8" fillId="2" borderId="47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1" fontId="8" fillId="2" borderId="26" xfId="0" applyNumberFormat="1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left"/>
    </xf>
    <xf numFmtId="0" fontId="8" fillId="3" borderId="18" xfId="0" applyFont="1" applyFill="1" applyBorder="1" applyAlignment="1">
      <alignment horizontal="center"/>
    </xf>
    <xf numFmtId="1" fontId="8" fillId="2" borderId="20" xfId="0" applyNumberFormat="1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4" fillId="2" borderId="2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165" fontId="8" fillId="2" borderId="23" xfId="0" applyNumberFormat="1" applyFont="1" applyFill="1" applyBorder="1" applyAlignment="1">
      <alignment horizontal="center"/>
    </xf>
    <xf numFmtId="164" fontId="8" fillId="2" borderId="23" xfId="0" applyNumberFormat="1" applyFont="1" applyFill="1" applyBorder="1" applyAlignment="1">
      <alignment horizontal="right"/>
    </xf>
    <xf numFmtId="165" fontId="10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center"/>
    </xf>
    <xf numFmtId="165" fontId="8" fillId="2" borderId="14" xfId="0" applyNumberFormat="1" applyFont="1" applyFill="1" applyBorder="1" applyAlignment="1">
      <alignment horizontal="center"/>
    </xf>
    <xf numFmtId="164" fontId="8" fillId="2" borderId="14" xfId="0" applyNumberFormat="1" applyFont="1" applyFill="1" applyBorder="1" applyAlignment="1">
      <alignment horizontal="right"/>
    </xf>
    <xf numFmtId="0" fontId="8" fillId="4" borderId="24" xfId="0" applyFont="1" applyFill="1" applyBorder="1" applyAlignment="1">
      <alignment horizontal="center"/>
    </xf>
    <xf numFmtId="165" fontId="12" fillId="2" borderId="23" xfId="0" applyNumberFormat="1" applyFont="1" applyFill="1" applyBorder="1" applyAlignment="1">
      <alignment horizontal="center"/>
    </xf>
    <xf numFmtId="0" fontId="8" fillId="2" borderId="38" xfId="0" applyFont="1" applyFill="1" applyBorder="1" applyAlignment="1">
      <alignment horizontal="center"/>
    </xf>
    <xf numFmtId="164" fontId="8" fillId="2" borderId="20" xfId="0" applyNumberFormat="1" applyFont="1" applyFill="1" applyBorder="1" applyAlignment="1">
      <alignment horizontal="right"/>
    </xf>
    <xf numFmtId="164" fontId="8" fillId="3" borderId="1" xfId="0" applyNumberFormat="1" applyFont="1" applyFill="1" applyBorder="1" applyAlignment="1">
      <alignment horizontal="right"/>
    </xf>
    <xf numFmtId="165" fontId="12" fillId="2" borderId="20" xfId="0" applyNumberFormat="1" applyFont="1" applyFill="1" applyBorder="1" applyAlignment="1">
      <alignment horizontal="center"/>
    </xf>
    <xf numFmtId="165" fontId="12" fillId="2" borderId="14" xfId="0" applyNumberFormat="1" applyFont="1" applyFill="1" applyBorder="1" applyAlignment="1">
      <alignment horizontal="center"/>
    </xf>
    <xf numFmtId="165" fontId="8" fillId="2" borderId="47" xfId="0" applyNumberFormat="1" applyFont="1" applyFill="1" applyBorder="1" applyAlignment="1">
      <alignment horizontal="center"/>
    </xf>
    <xf numFmtId="164" fontId="8" fillId="2" borderId="47" xfId="0" applyNumberFormat="1" applyFont="1" applyFill="1" applyBorder="1" applyAlignment="1">
      <alignment horizontal="right"/>
    </xf>
    <xf numFmtId="0" fontId="8" fillId="2" borderId="37" xfId="0" applyFont="1" applyFill="1" applyBorder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right"/>
    </xf>
    <xf numFmtId="0" fontId="8" fillId="2" borderId="35" xfId="0" applyFont="1" applyFill="1" applyBorder="1" applyAlignment="1">
      <alignment horizontal="center"/>
    </xf>
    <xf numFmtId="165" fontId="8" fillId="2" borderId="26" xfId="0" applyNumberFormat="1" applyFont="1" applyFill="1" applyBorder="1" applyAlignment="1">
      <alignment horizontal="center"/>
    </xf>
    <xf numFmtId="164" fontId="8" fillId="2" borderId="26" xfId="0" applyNumberFormat="1" applyFont="1" applyFill="1" applyBorder="1" applyAlignment="1">
      <alignment horizontal="right"/>
    </xf>
    <xf numFmtId="0" fontId="8" fillId="2" borderId="29" xfId="0" applyFont="1" applyFill="1" applyBorder="1" applyAlignment="1">
      <alignment horizontal="center"/>
    </xf>
    <xf numFmtId="165" fontId="8" fillId="2" borderId="20" xfId="0" applyNumberFormat="1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165" fontId="8" fillId="4" borderId="14" xfId="0" applyNumberFormat="1" applyFont="1" applyFill="1" applyBorder="1" applyAlignment="1">
      <alignment horizontal="center"/>
    </xf>
    <xf numFmtId="164" fontId="8" fillId="4" borderId="14" xfId="0" applyNumberFormat="1" applyFont="1" applyFill="1" applyBorder="1" applyAlignment="1">
      <alignment horizontal="right"/>
    </xf>
    <xf numFmtId="0" fontId="13" fillId="0" borderId="41" xfId="0" applyFont="1" applyBorder="1" applyAlignment="1">
      <alignment horizontal="center"/>
    </xf>
    <xf numFmtId="0" fontId="12" fillId="2" borderId="20" xfId="0" applyFont="1" applyFill="1" applyBorder="1"/>
    <xf numFmtId="0" fontId="8" fillId="2" borderId="23" xfId="0" applyFont="1" applyFill="1" applyBorder="1"/>
    <xf numFmtId="0" fontId="14" fillId="2" borderId="42" xfId="0" applyFont="1" applyFill="1" applyBorder="1"/>
    <xf numFmtId="0" fontId="8" fillId="2" borderId="31" xfId="0" applyFont="1" applyFill="1" applyBorder="1" applyAlignment="1">
      <alignment horizontal="center"/>
    </xf>
    <xf numFmtId="0" fontId="8" fillId="2" borderId="2" xfId="0" applyFont="1" applyFill="1" applyBorder="1" applyAlignment="1"/>
    <xf numFmtId="0" fontId="12" fillId="2" borderId="16" xfId="0" applyFont="1" applyFill="1" applyBorder="1"/>
    <xf numFmtId="1" fontId="9" fillId="2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14" fontId="8" fillId="2" borderId="11" xfId="0" applyNumberFormat="1" applyFont="1" applyFill="1" applyBorder="1" applyAlignment="1">
      <alignment horizontal="center"/>
    </xf>
    <xf numFmtId="14" fontId="8" fillId="2" borderId="28" xfId="0" applyNumberFormat="1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8" fillId="5" borderId="29" xfId="0" applyFont="1" applyFill="1" applyBorder="1" applyAlignment="1">
      <alignment horizontal="center"/>
    </xf>
    <xf numFmtId="165" fontId="8" fillId="5" borderId="20" xfId="0" applyNumberFormat="1" applyFont="1" applyFill="1" applyBorder="1" applyAlignment="1">
      <alignment horizontal="center"/>
    </xf>
    <xf numFmtId="164" fontId="8" fillId="5" borderId="20" xfId="0" applyNumberFormat="1" applyFont="1" applyFill="1" applyBorder="1" applyAlignment="1">
      <alignment horizontal="right"/>
    </xf>
    <xf numFmtId="0" fontId="12" fillId="4" borderId="26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165" fontId="8" fillId="4" borderId="26" xfId="0" applyNumberFormat="1" applyFont="1" applyFill="1" applyBorder="1" applyAlignment="1">
      <alignment horizontal="center"/>
    </xf>
    <xf numFmtId="164" fontId="8" fillId="4" borderId="26" xfId="0" applyNumberFormat="1" applyFont="1" applyFill="1" applyBorder="1" applyAlignment="1">
      <alignment horizontal="right"/>
    </xf>
    <xf numFmtId="165" fontId="8" fillId="4" borderId="23" xfId="0" applyNumberFormat="1" applyFont="1" applyFill="1" applyBorder="1" applyAlignment="1">
      <alignment horizontal="center"/>
    </xf>
    <xf numFmtId="164" fontId="8" fillId="4" borderId="23" xfId="0" applyNumberFormat="1" applyFont="1" applyFill="1" applyBorder="1" applyAlignment="1">
      <alignment horizontal="center"/>
    </xf>
    <xf numFmtId="164" fontId="8" fillId="4" borderId="23" xfId="0" applyNumberFormat="1" applyFont="1" applyFill="1" applyBorder="1" applyAlignment="1">
      <alignment horizontal="right"/>
    </xf>
    <xf numFmtId="0" fontId="12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horizontal="center"/>
    </xf>
    <xf numFmtId="164" fontId="8" fillId="5" borderId="4" xfId="0" applyNumberFormat="1" applyFont="1" applyFill="1" applyBorder="1" applyAlignment="1">
      <alignment horizontal="center"/>
    </xf>
    <xf numFmtId="164" fontId="8" fillId="5" borderId="4" xfId="0" applyNumberFormat="1" applyFont="1" applyFill="1" applyBorder="1" applyAlignment="1">
      <alignment horizontal="right"/>
    </xf>
    <xf numFmtId="1" fontId="6" fillId="2" borderId="23" xfId="0" applyNumberFormat="1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8" fillId="5" borderId="3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2" borderId="36" xfId="0" applyFont="1" applyFill="1" applyBorder="1" applyAlignment="1">
      <alignment horizontal="center"/>
    </xf>
    <xf numFmtId="0" fontId="8" fillId="4" borderId="3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12" fillId="5" borderId="23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8" fillId="5" borderId="24" xfId="0" applyFont="1" applyFill="1" applyBorder="1" applyAlignment="1">
      <alignment horizontal="center"/>
    </xf>
    <xf numFmtId="165" fontId="8" fillId="5" borderId="23" xfId="0" applyNumberFormat="1" applyFont="1" applyFill="1" applyBorder="1" applyAlignment="1">
      <alignment horizontal="center"/>
    </xf>
    <xf numFmtId="164" fontId="8" fillId="5" borderId="23" xfId="0" applyNumberFormat="1" applyFont="1" applyFill="1" applyBorder="1" applyAlignment="1">
      <alignment horizontal="center"/>
    </xf>
    <xf numFmtId="164" fontId="8" fillId="5" borderId="23" xfId="0" applyNumberFormat="1" applyFont="1" applyFill="1" applyBorder="1" applyAlignment="1">
      <alignment horizontal="right"/>
    </xf>
    <xf numFmtId="165" fontId="8" fillId="5" borderId="26" xfId="0" applyNumberFormat="1" applyFont="1" applyFill="1" applyBorder="1" applyAlignment="1">
      <alignment horizontal="center"/>
    </xf>
    <xf numFmtId="164" fontId="8" fillId="5" borderId="26" xfId="0" applyNumberFormat="1" applyFont="1" applyFill="1" applyBorder="1" applyAlignment="1">
      <alignment horizontal="center"/>
    </xf>
    <xf numFmtId="164" fontId="8" fillId="5" borderId="26" xfId="0" applyNumberFormat="1" applyFont="1" applyFill="1" applyBorder="1" applyAlignment="1">
      <alignment horizontal="right"/>
    </xf>
    <xf numFmtId="0" fontId="16" fillId="2" borderId="0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center"/>
    </xf>
    <xf numFmtId="1" fontId="9" fillId="2" borderId="7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164" fontId="8" fillId="5" borderId="20" xfId="0" applyNumberFormat="1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16" fillId="2" borderId="0" xfId="0" applyFont="1" applyFill="1" applyBorder="1" applyAlignment="1"/>
    <xf numFmtId="164" fontId="18" fillId="2" borderId="34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2" borderId="47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/>
    </xf>
    <xf numFmtId="0" fontId="8" fillId="5" borderId="23" xfId="0" applyFont="1" applyFill="1" applyBorder="1" applyAlignment="1">
      <alignment horizontal="center"/>
    </xf>
    <xf numFmtId="0" fontId="8" fillId="5" borderId="2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0" fillId="3" borderId="2" xfId="0" applyFont="1" applyFill="1" applyBorder="1" applyAlignment="1">
      <alignment horizontal="left"/>
    </xf>
    <xf numFmtId="1" fontId="10" fillId="3" borderId="1" xfId="0" applyNumberFormat="1" applyFont="1" applyFill="1" applyBorder="1" applyAlignment="1">
      <alignment horizontal="center"/>
    </xf>
    <xf numFmtId="0" fontId="8" fillId="3" borderId="31" xfId="0" applyFont="1" applyFill="1" applyBorder="1" applyAlignment="1">
      <alignment horizontal="center"/>
    </xf>
    <xf numFmtId="16" fontId="25" fillId="5" borderId="26" xfId="0" applyNumberFormat="1" applyFont="1" applyFill="1" applyBorder="1" applyAlignment="1">
      <alignment horizontal="center"/>
    </xf>
    <xf numFmtId="164" fontId="8" fillId="4" borderId="26" xfId="0" applyNumberFormat="1" applyFont="1" applyFill="1" applyBorder="1" applyAlignment="1">
      <alignment horizontal="center"/>
    </xf>
    <xf numFmtId="164" fontId="8" fillId="4" borderId="20" xfId="0" applyNumberFormat="1" applyFont="1" applyFill="1" applyBorder="1" applyAlignment="1">
      <alignment horizontal="right"/>
    </xf>
    <xf numFmtId="0" fontId="9" fillId="5" borderId="38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1" fontId="20" fillId="3" borderId="1" xfId="0" applyNumberFormat="1" applyFont="1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1" fontId="8" fillId="6" borderId="14" xfId="0" applyNumberFormat="1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165" fontId="12" fillId="6" borderId="14" xfId="0" applyNumberFormat="1" applyFont="1" applyFill="1" applyBorder="1" applyAlignment="1">
      <alignment horizontal="center"/>
    </xf>
    <xf numFmtId="164" fontId="8" fillId="6" borderId="14" xfId="0" applyNumberFormat="1" applyFont="1" applyFill="1" applyBorder="1" applyAlignment="1">
      <alignment horizontal="center"/>
    </xf>
    <xf numFmtId="164" fontId="8" fillId="6" borderId="14" xfId="0" applyNumberFormat="1" applyFont="1" applyFill="1" applyBorder="1" applyAlignment="1">
      <alignment horizontal="right"/>
    </xf>
    <xf numFmtId="0" fontId="8" fillId="2" borderId="33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/>
    </xf>
    <xf numFmtId="1" fontId="9" fillId="6" borderId="23" xfId="0" applyNumberFormat="1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8" fillId="6" borderId="42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165" fontId="8" fillId="6" borderId="23" xfId="0" applyNumberFormat="1" applyFont="1" applyFill="1" applyBorder="1" applyAlignment="1">
      <alignment horizontal="center"/>
    </xf>
    <xf numFmtId="164" fontId="8" fillId="6" borderId="23" xfId="0" applyNumberFormat="1" applyFont="1" applyFill="1" applyBorder="1" applyAlignment="1">
      <alignment horizontal="center"/>
    </xf>
    <xf numFmtId="164" fontId="8" fillId="6" borderId="23" xfId="0" applyNumberFormat="1" applyFont="1" applyFill="1" applyBorder="1" applyAlignment="1">
      <alignment horizontal="right"/>
    </xf>
    <xf numFmtId="0" fontId="6" fillId="6" borderId="23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29" fillId="5" borderId="15" xfId="0" applyFont="1" applyFill="1" applyBorder="1" applyAlignment="1">
      <alignment horizontal="left"/>
    </xf>
    <xf numFmtId="0" fontId="20" fillId="5" borderId="10" xfId="0" applyFont="1" applyFill="1" applyBorder="1" applyAlignment="1">
      <alignment horizontal="center"/>
    </xf>
    <xf numFmtId="0" fontId="20" fillId="5" borderId="30" xfId="0" applyFont="1" applyFill="1" applyBorder="1" applyAlignment="1">
      <alignment horizontal="left"/>
    </xf>
    <xf numFmtId="0" fontId="20" fillId="5" borderId="18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4" borderId="21" xfId="0" applyFont="1" applyFill="1" applyBorder="1" applyAlignment="1">
      <alignment horizontal="left"/>
    </xf>
    <xf numFmtId="0" fontId="8" fillId="4" borderId="42" xfId="0" applyFont="1" applyFill="1" applyBorder="1" applyAlignment="1">
      <alignment horizontal="center"/>
    </xf>
    <xf numFmtId="0" fontId="30" fillId="5" borderId="4" xfId="0" applyFont="1" applyFill="1" applyBorder="1" applyAlignment="1">
      <alignment horizontal="left"/>
    </xf>
    <xf numFmtId="0" fontId="30" fillId="5" borderId="4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left"/>
    </xf>
    <xf numFmtId="0" fontId="30" fillId="5" borderId="28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left"/>
    </xf>
    <xf numFmtId="0" fontId="20" fillId="4" borderId="10" xfId="0" applyFont="1" applyFill="1" applyBorder="1" applyAlignment="1">
      <alignment horizontal="center"/>
    </xf>
    <xf numFmtId="1" fontId="20" fillId="4" borderId="4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4" borderId="13" xfId="0" applyFont="1" applyFill="1" applyBorder="1" applyAlignment="1">
      <alignment horizontal="left"/>
    </xf>
    <xf numFmtId="0" fontId="31" fillId="4" borderId="25" xfId="0" applyFont="1" applyFill="1" applyBorder="1" applyAlignment="1">
      <alignment horizontal="center"/>
    </xf>
    <xf numFmtId="1" fontId="20" fillId="4" borderId="14" xfId="0" applyNumberFormat="1" applyFont="1" applyFill="1" applyBorder="1" applyAlignment="1">
      <alignment horizontal="center"/>
    </xf>
    <xf numFmtId="0" fontId="20" fillId="4" borderId="8" xfId="0" applyFont="1" applyFill="1" applyBorder="1" applyAlignment="1">
      <alignment horizontal="left"/>
    </xf>
    <xf numFmtId="0" fontId="31" fillId="4" borderId="11" xfId="0" applyFont="1" applyFill="1" applyBorder="1" applyAlignment="1">
      <alignment horizontal="center"/>
    </xf>
    <xf numFmtId="0" fontId="20" fillId="4" borderId="21" xfId="0" applyFont="1" applyFill="1" applyBorder="1" applyAlignment="1">
      <alignment horizontal="left"/>
    </xf>
    <xf numFmtId="0" fontId="20" fillId="4" borderId="22" xfId="0" applyFont="1" applyFill="1" applyBorder="1" applyAlignment="1">
      <alignment horizontal="center"/>
    </xf>
    <xf numFmtId="1" fontId="20" fillId="4" borderId="16" xfId="0" applyNumberFormat="1" applyFont="1" applyFill="1" applyBorder="1" applyAlignment="1">
      <alignment horizontal="center"/>
    </xf>
    <xf numFmtId="0" fontId="20" fillId="4" borderId="25" xfId="0" applyFont="1" applyFill="1" applyBorder="1" applyAlignment="1">
      <alignment horizontal="center"/>
    </xf>
    <xf numFmtId="0" fontId="20" fillId="4" borderId="26" xfId="0" applyFont="1" applyFill="1" applyBorder="1" applyAlignment="1">
      <alignment horizontal="left"/>
    </xf>
    <xf numFmtId="0" fontId="20" fillId="4" borderId="28" xfId="0" applyFont="1" applyFill="1" applyBorder="1" applyAlignment="1">
      <alignment horizontal="center"/>
    </xf>
    <xf numFmtId="0" fontId="20" fillId="4" borderId="26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left"/>
    </xf>
    <xf numFmtId="0" fontId="20" fillId="3" borderId="6" xfId="0" applyFont="1" applyFill="1" applyBorder="1" applyAlignment="1">
      <alignment horizontal="left"/>
    </xf>
    <xf numFmtId="0" fontId="20" fillId="3" borderId="6" xfId="0" applyFont="1" applyFill="1" applyBorder="1" applyAlignment="1">
      <alignment horizontal="center"/>
    </xf>
    <xf numFmtId="0" fontId="20" fillId="4" borderId="23" xfId="0" applyFont="1" applyFill="1" applyBorder="1" applyAlignment="1">
      <alignment horizontal="left"/>
    </xf>
    <xf numFmtId="0" fontId="20" fillId="4" borderId="42" xfId="0" applyFont="1" applyFill="1" applyBorder="1" applyAlignment="1">
      <alignment horizontal="center"/>
    </xf>
    <xf numFmtId="1" fontId="20" fillId="4" borderId="23" xfId="0" applyNumberFormat="1" applyFont="1" applyFill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20" fillId="2" borderId="6" xfId="0" applyFont="1" applyFill="1" applyBorder="1" applyAlignment="1">
      <alignment horizontal="left"/>
    </xf>
    <xf numFmtId="0" fontId="20" fillId="2" borderId="17" xfId="0" applyFont="1" applyFill="1" applyBorder="1" applyAlignment="1">
      <alignment horizontal="left"/>
    </xf>
    <xf numFmtId="0" fontId="20" fillId="2" borderId="50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left"/>
    </xf>
    <xf numFmtId="0" fontId="8" fillId="6" borderId="11" xfId="0" applyFont="1" applyFill="1" applyBorder="1" applyAlignment="1">
      <alignment horizontal="center"/>
    </xf>
    <xf numFmtId="1" fontId="8" fillId="6" borderId="4" xfId="0" applyNumberFormat="1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0" fillId="6" borderId="0" xfId="0" applyFill="1"/>
    <xf numFmtId="0" fontId="12" fillId="2" borderId="1" xfId="0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/>
    </xf>
    <xf numFmtId="0" fontId="3" fillId="7" borderId="7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24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7" xfId="0" applyFont="1" applyFill="1" applyBorder="1" applyAlignment="1">
      <alignment horizontal="center"/>
    </xf>
    <xf numFmtId="0" fontId="8" fillId="7" borderId="35" xfId="0" applyFont="1" applyFill="1" applyBorder="1" applyAlignment="1">
      <alignment horizontal="center"/>
    </xf>
    <xf numFmtId="0" fontId="8" fillId="7" borderId="29" xfId="0" applyFont="1" applyFill="1" applyBorder="1" applyAlignment="1">
      <alignment horizontal="center"/>
    </xf>
    <xf numFmtId="0" fontId="9" fillId="7" borderId="38" xfId="0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/>
    </xf>
    <xf numFmtId="0" fontId="8" fillId="7" borderId="36" xfId="0" applyFont="1" applyFill="1" applyBorder="1" applyAlignment="1">
      <alignment horizontal="center"/>
    </xf>
    <xf numFmtId="164" fontId="31" fillId="2" borderId="1" xfId="0" applyNumberFormat="1" applyFont="1" applyFill="1" applyBorder="1" applyAlignment="1">
      <alignment horizontal="right"/>
    </xf>
    <xf numFmtId="0" fontId="8" fillId="8" borderId="22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35" xfId="0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164" fontId="33" fillId="0" borderId="20" xfId="0" applyNumberFormat="1" applyFont="1" applyBorder="1"/>
    <xf numFmtId="0" fontId="4" fillId="2" borderId="16" xfId="0" applyFont="1" applyFill="1" applyBorder="1" applyAlignment="1">
      <alignment horizontal="center"/>
    </xf>
    <xf numFmtId="0" fontId="4" fillId="2" borderId="16" xfId="0" applyFont="1" applyFill="1" applyBorder="1"/>
    <xf numFmtId="164" fontId="31" fillId="2" borderId="1" xfId="0" applyNumberFormat="1" applyFont="1" applyFill="1" applyBorder="1" applyAlignment="1">
      <alignment horizontal="center"/>
    </xf>
    <xf numFmtId="0" fontId="12" fillId="2" borderId="20" xfId="0" applyFont="1" applyFill="1" applyBorder="1" applyAlignment="1">
      <alignment vertical="center"/>
    </xf>
    <xf numFmtId="0" fontId="20" fillId="2" borderId="6" xfId="0" applyFont="1" applyFill="1" applyBorder="1" applyAlignment="1">
      <alignment horizontal="left" vertical="center"/>
    </xf>
    <xf numFmtId="0" fontId="8" fillId="3" borderId="36" xfId="0" applyFont="1" applyFill="1" applyBorder="1" applyAlignment="1">
      <alignment horizontal="center"/>
    </xf>
    <xf numFmtId="0" fontId="8" fillId="4" borderId="5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8" fillId="2" borderId="56" xfId="0" applyFont="1" applyFill="1" applyBorder="1" applyAlignment="1">
      <alignment horizontal="center"/>
    </xf>
    <xf numFmtId="0" fontId="8" fillId="4" borderId="55" xfId="0" applyFont="1" applyFill="1" applyBorder="1" applyAlignment="1">
      <alignment horizontal="center"/>
    </xf>
    <xf numFmtId="0" fontId="8" fillId="4" borderId="57" xfId="0" applyFont="1" applyFill="1" applyBorder="1" applyAlignment="1">
      <alignment horizontal="center"/>
    </xf>
    <xf numFmtId="0" fontId="8" fillId="7" borderId="57" xfId="0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7" fillId="2" borderId="51" xfId="0" applyFont="1" applyFill="1" applyBorder="1" applyAlignment="1">
      <alignment horizontal="left"/>
    </xf>
    <xf numFmtId="0" fontId="17" fillId="2" borderId="52" xfId="0" applyFont="1" applyFill="1" applyBorder="1" applyAlignment="1">
      <alignment horizontal="left"/>
    </xf>
    <xf numFmtId="0" fontId="17" fillId="2" borderId="53" xfId="0" applyFont="1" applyFill="1" applyBorder="1" applyAlignment="1">
      <alignment horizontal="left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17" fontId="4" fillId="2" borderId="45" xfId="0" applyNumberFormat="1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46" xfId="0" applyFont="1" applyFill="1" applyBorder="1" applyAlignment="1">
      <alignment horizontal="center"/>
    </xf>
    <xf numFmtId="0" fontId="13" fillId="2" borderId="39" xfId="0" applyFont="1" applyFill="1" applyBorder="1" applyAlignment="1">
      <alignment horizontal="center"/>
    </xf>
    <xf numFmtId="0" fontId="13" fillId="2" borderId="40" xfId="0" applyFont="1" applyFill="1" applyBorder="1" applyAlignment="1">
      <alignment horizontal="center"/>
    </xf>
    <xf numFmtId="0" fontId="13" fillId="2" borderId="41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15" fillId="2" borderId="32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87"/>
  <sheetViews>
    <sheetView tabSelected="1" topLeftCell="A46" zoomScaleNormal="100" workbookViewId="0">
      <selection activeCell="A69" sqref="A69:AM69"/>
    </sheetView>
  </sheetViews>
  <sheetFormatPr defaultRowHeight="14.4" x14ac:dyDescent="0.3"/>
  <cols>
    <col min="1" max="1" width="3.44140625" customWidth="1"/>
    <col min="2" max="2" width="23.109375" customWidth="1"/>
    <col min="3" max="3" width="19.44140625" customWidth="1"/>
    <col min="4" max="4" width="7.44140625" customWidth="1"/>
    <col min="5" max="6" width="3.5546875" customWidth="1"/>
    <col min="7" max="8" width="3.33203125" customWidth="1"/>
    <col min="9" max="9" width="3.44140625" customWidth="1"/>
    <col min="10" max="10" width="3.33203125" customWidth="1"/>
    <col min="11" max="14" width="3.44140625" customWidth="1"/>
    <col min="15" max="15" width="3.5546875" customWidth="1"/>
    <col min="16" max="18" width="3.44140625" customWidth="1"/>
    <col min="19" max="19" width="3.33203125" customWidth="1"/>
    <col min="20" max="21" width="3.6640625" customWidth="1"/>
    <col min="22" max="23" width="3.44140625" customWidth="1"/>
    <col min="24" max="26" width="3.33203125" customWidth="1"/>
    <col min="27" max="27" width="3.33203125" bestFit="1" customWidth="1"/>
    <col min="28" max="29" width="3.44140625" customWidth="1"/>
    <col min="30" max="30" width="3.33203125" customWidth="1"/>
    <col min="31" max="31" width="3.44140625" customWidth="1"/>
    <col min="32" max="32" width="3.109375" customWidth="1"/>
    <col min="33" max="34" width="3.21875" customWidth="1"/>
    <col min="35" max="35" width="3.33203125" customWidth="1"/>
    <col min="36" max="36" width="3.88671875" customWidth="1"/>
    <col min="37" max="37" width="5" customWidth="1"/>
    <col min="38" max="38" width="10.88671875" customWidth="1"/>
    <col min="39" max="39" width="13.33203125" customWidth="1"/>
    <col min="40" max="40" width="11.109375" customWidth="1"/>
  </cols>
  <sheetData>
    <row r="1" spans="1:42" ht="23.25" customHeight="1" thickTop="1" thickBot="1" x14ac:dyDescent="0.35">
      <c r="A1" s="3"/>
      <c r="B1" s="2"/>
      <c r="C1" s="296" t="s">
        <v>117</v>
      </c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</row>
    <row r="2" spans="1:42" ht="15.6" thickTop="1" thickBot="1" x14ac:dyDescent="0.35">
      <c r="A2" s="4"/>
      <c r="B2" s="69" t="s">
        <v>1</v>
      </c>
      <c r="C2" s="70" t="s">
        <v>2</v>
      </c>
      <c r="D2" s="26" t="s">
        <v>43</v>
      </c>
      <c r="E2" s="174">
        <v>1</v>
      </c>
      <c r="F2" s="174">
        <v>2</v>
      </c>
      <c r="G2" s="174">
        <v>3</v>
      </c>
      <c r="H2" s="174">
        <v>4</v>
      </c>
      <c r="I2" s="262">
        <v>5</v>
      </c>
      <c r="J2" s="262">
        <v>6</v>
      </c>
      <c r="K2" s="174">
        <v>7</v>
      </c>
      <c r="L2" s="174">
        <v>8</v>
      </c>
      <c r="M2" s="174">
        <v>9</v>
      </c>
      <c r="N2" s="174">
        <v>10</v>
      </c>
      <c r="O2" s="174">
        <v>11</v>
      </c>
      <c r="P2" s="262">
        <v>12</v>
      </c>
      <c r="Q2" s="262">
        <v>13</v>
      </c>
      <c r="R2" s="262">
        <v>14</v>
      </c>
      <c r="S2" s="262">
        <v>15</v>
      </c>
      <c r="T2" s="174">
        <v>16</v>
      </c>
      <c r="U2" s="174">
        <v>17</v>
      </c>
      <c r="V2" s="174">
        <v>18</v>
      </c>
      <c r="W2" s="262">
        <v>19</v>
      </c>
      <c r="X2" s="262">
        <v>20</v>
      </c>
      <c r="Y2" s="174">
        <v>21</v>
      </c>
      <c r="Z2" s="174">
        <v>22</v>
      </c>
      <c r="AA2" s="174">
        <v>23</v>
      </c>
      <c r="AB2" s="174">
        <v>24</v>
      </c>
      <c r="AC2" s="174">
        <v>25</v>
      </c>
      <c r="AD2" s="262">
        <v>26</v>
      </c>
      <c r="AE2" s="262">
        <v>27</v>
      </c>
      <c r="AF2" s="174">
        <v>28</v>
      </c>
      <c r="AG2" s="247">
        <v>29</v>
      </c>
      <c r="AH2" s="174">
        <v>30</v>
      </c>
      <c r="AI2" s="248">
        <v>31</v>
      </c>
      <c r="AJ2" s="19" t="s">
        <v>3</v>
      </c>
      <c r="AK2" s="8" t="s">
        <v>4</v>
      </c>
      <c r="AL2" s="71" t="s">
        <v>5</v>
      </c>
      <c r="AM2" s="140" t="s">
        <v>6</v>
      </c>
      <c r="AN2" s="10"/>
    </row>
    <row r="3" spans="1:42" ht="15.6" thickTop="1" thickBot="1" x14ac:dyDescent="0.35">
      <c r="A3" s="219">
        <v>1</v>
      </c>
      <c r="B3" s="220" t="s">
        <v>0</v>
      </c>
      <c r="C3" s="221" t="s">
        <v>62</v>
      </c>
      <c r="D3" s="222">
        <v>30</v>
      </c>
      <c r="E3" s="72">
        <v>2</v>
      </c>
      <c r="F3" s="72">
        <v>2</v>
      </c>
      <c r="G3" s="72">
        <v>2</v>
      </c>
      <c r="H3" s="72"/>
      <c r="I3" s="263"/>
      <c r="J3" s="263"/>
      <c r="K3" s="72">
        <v>2</v>
      </c>
      <c r="L3" s="72">
        <v>2</v>
      </c>
      <c r="M3" s="72">
        <v>2</v>
      </c>
      <c r="N3" s="72">
        <v>2</v>
      </c>
      <c r="O3" s="72"/>
      <c r="P3" s="263"/>
      <c r="Q3" s="263"/>
      <c r="R3" s="263"/>
      <c r="S3" s="263"/>
      <c r="T3" s="72"/>
      <c r="U3" s="72"/>
      <c r="V3" s="72"/>
      <c r="W3" s="263"/>
      <c r="X3" s="263"/>
      <c r="Y3" s="72">
        <v>2</v>
      </c>
      <c r="Z3" s="72">
        <v>2</v>
      </c>
      <c r="AA3" s="72">
        <v>2</v>
      </c>
      <c r="AB3" s="72">
        <v>2</v>
      </c>
      <c r="AC3" s="72"/>
      <c r="AD3" s="263"/>
      <c r="AE3" s="263"/>
      <c r="AF3" s="72">
        <v>2</v>
      </c>
      <c r="AG3" s="72">
        <v>2</v>
      </c>
      <c r="AH3" s="72">
        <v>2</v>
      </c>
      <c r="AI3" s="72">
        <v>2</v>
      </c>
      <c r="AJ3" s="157">
        <f t="shared" ref="AJ3:AJ49" si="0">SUM(E3:AI3)</f>
        <v>30</v>
      </c>
      <c r="AK3" s="99">
        <f>AJ3/2</f>
        <v>15</v>
      </c>
      <c r="AL3" s="27">
        <v>3750</v>
      </c>
      <c r="AM3" s="100">
        <f>AK3*AL3</f>
        <v>56250</v>
      </c>
      <c r="AN3" s="10"/>
    </row>
    <row r="4" spans="1:42" ht="15.6" thickTop="1" thickBot="1" x14ac:dyDescent="0.35">
      <c r="A4" s="47">
        <v>2</v>
      </c>
      <c r="B4" s="32" t="s">
        <v>15</v>
      </c>
      <c r="C4" s="135" t="s">
        <v>9</v>
      </c>
      <c r="D4" s="33">
        <v>17</v>
      </c>
      <c r="E4" s="73">
        <v>2</v>
      </c>
      <c r="F4" s="73">
        <v>2</v>
      </c>
      <c r="G4" s="73">
        <v>2</v>
      </c>
      <c r="H4" s="73">
        <v>2</v>
      </c>
      <c r="I4" s="264"/>
      <c r="J4" s="264"/>
      <c r="K4" s="73">
        <v>2</v>
      </c>
      <c r="L4" s="73">
        <v>2</v>
      </c>
      <c r="M4" s="73">
        <v>2</v>
      </c>
      <c r="N4" s="73">
        <v>2</v>
      </c>
      <c r="O4" s="73">
        <v>2</v>
      </c>
      <c r="P4" s="264"/>
      <c r="Q4" s="264"/>
      <c r="R4" s="264"/>
      <c r="S4" s="264"/>
      <c r="T4" s="73">
        <v>2</v>
      </c>
      <c r="U4" s="73">
        <v>2</v>
      </c>
      <c r="V4" s="83">
        <v>2</v>
      </c>
      <c r="W4" s="264"/>
      <c r="X4" s="264"/>
      <c r="Y4" s="73">
        <v>2</v>
      </c>
      <c r="Z4" s="73">
        <v>2</v>
      </c>
      <c r="AA4" s="73">
        <v>2</v>
      </c>
      <c r="AB4" s="73">
        <v>2</v>
      </c>
      <c r="AC4" s="73">
        <v>2</v>
      </c>
      <c r="AD4" s="264"/>
      <c r="AE4" s="264"/>
      <c r="AF4" s="73">
        <v>2</v>
      </c>
      <c r="AG4" s="73">
        <v>2</v>
      </c>
      <c r="AH4" s="73">
        <v>2</v>
      </c>
      <c r="AI4" s="73">
        <v>2</v>
      </c>
      <c r="AJ4" s="51">
        <f t="shared" si="0"/>
        <v>42</v>
      </c>
      <c r="AK4" s="74">
        <f>AJ4/2</f>
        <v>21</v>
      </c>
      <c r="AL4" s="16">
        <v>2300</v>
      </c>
      <c r="AM4" s="75">
        <f>AK4*AL4</f>
        <v>48300</v>
      </c>
      <c r="AN4" s="10"/>
    </row>
    <row r="5" spans="1:42" ht="15.6" thickTop="1" thickBot="1" x14ac:dyDescent="0.35">
      <c r="A5" s="35"/>
      <c r="B5" s="138" t="s">
        <v>22</v>
      </c>
      <c r="C5" s="139" t="s">
        <v>12</v>
      </c>
      <c r="D5" s="35">
        <v>17</v>
      </c>
      <c r="E5" s="114"/>
      <c r="F5" s="178"/>
      <c r="G5" s="178"/>
      <c r="H5" s="178"/>
      <c r="I5" s="266"/>
      <c r="J5" s="266"/>
      <c r="K5" s="178"/>
      <c r="L5" s="178"/>
      <c r="M5" s="178"/>
      <c r="N5" s="178"/>
      <c r="O5" s="178"/>
      <c r="P5" s="266"/>
      <c r="Q5" s="266"/>
      <c r="R5" s="266"/>
      <c r="S5" s="266"/>
      <c r="T5" s="178"/>
      <c r="U5" s="178"/>
      <c r="V5" s="178"/>
      <c r="W5" s="266"/>
      <c r="X5" s="266"/>
      <c r="Y5" s="178"/>
      <c r="Z5" s="178"/>
      <c r="AA5" s="178"/>
      <c r="AB5" s="178"/>
      <c r="AC5" s="178"/>
      <c r="AD5" s="265"/>
      <c r="AE5" s="265"/>
      <c r="AF5" s="114"/>
      <c r="AG5" s="114"/>
      <c r="AH5" s="114"/>
      <c r="AI5" s="114"/>
      <c r="AJ5" s="162">
        <f t="shared" si="0"/>
        <v>0</v>
      </c>
      <c r="AK5" s="76">
        <f>AJ5</f>
        <v>0</v>
      </c>
      <c r="AL5" s="12">
        <v>1533.33</v>
      </c>
      <c r="AM5" s="77">
        <f>AK5*AL5</f>
        <v>0</v>
      </c>
      <c r="AN5" s="10"/>
    </row>
    <row r="6" spans="1:42" ht="15" customHeight="1" thickTop="1" thickBot="1" x14ac:dyDescent="0.4">
      <c r="A6" s="223">
        <v>3</v>
      </c>
      <c r="B6" s="224" t="s">
        <v>47</v>
      </c>
      <c r="C6" s="225" t="s">
        <v>106</v>
      </c>
      <c r="D6" s="226">
        <v>30</v>
      </c>
      <c r="E6" s="72">
        <v>2</v>
      </c>
      <c r="F6" s="291">
        <v>2</v>
      </c>
      <c r="G6" s="292">
        <v>2</v>
      </c>
      <c r="H6" s="292">
        <v>2</v>
      </c>
      <c r="I6" s="293"/>
      <c r="J6" s="293"/>
      <c r="K6" s="292">
        <v>2</v>
      </c>
      <c r="L6" s="292">
        <v>2</v>
      </c>
      <c r="M6" s="292">
        <v>2</v>
      </c>
      <c r="N6" s="292">
        <v>2</v>
      </c>
      <c r="O6" s="292">
        <v>2</v>
      </c>
      <c r="P6" s="293"/>
      <c r="Q6" s="293"/>
      <c r="R6" s="293"/>
      <c r="S6" s="293"/>
      <c r="T6" s="292">
        <v>2</v>
      </c>
      <c r="U6" s="292"/>
      <c r="V6" s="292"/>
      <c r="W6" s="293"/>
      <c r="X6" s="293"/>
      <c r="Y6" s="292">
        <v>2</v>
      </c>
      <c r="Z6" s="292">
        <v>2</v>
      </c>
      <c r="AA6" s="292">
        <v>2</v>
      </c>
      <c r="AB6" s="292">
        <v>2</v>
      </c>
      <c r="AC6" s="292">
        <v>2</v>
      </c>
      <c r="AD6" s="263"/>
      <c r="AE6" s="263"/>
      <c r="AF6" s="72">
        <v>2</v>
      </c>
      <c r="AG6" s="72">
        <v>2</v>
      </c>
      <c r="AH6" s="72">
        <v>2</v>
      </c>
      <c r="AI6" s="72">
        <v>2</v>
      </c>
      <c r="AJ6" s="98">
        <f t="shared" si="0"/>
        <v>38</v>
      </c>
      <c r="AK6" s="99">
        <f t="shared" ref="AK6:AK15" si="1">AJ6/2</f>
        <v>19</v>
      </c>
      <c r="AL6" s="27">
        <v>3750</v>
      </c>
      <c r="AM6" s="100">
        <f t="shared" ref="AM6:AM62" si="2">AK6*AL6</f>
        <v>71250</v>
      </c>
      <c r="AN6" s="10"/>
      <c r="AO6" s="1"/>
      <c r="AP6" s="1"/>
    </row>
    <row r="7" spans="1:42" ht="16.8" customHeight="1" thickTop="1" thickBot="1" x14ac:dyDescent="0.4">
      <c r="A7" s="38">
        <v>4</v>
      </c>
      <c r="B7" s="36" t="s">
        <v>35</v>
      </c>
      <c r="C7" s="136" t="s">
        <v>44</v>
      </c>
      <c r="D7" s="37">
        <v>27</v>
      </c>
      <c r="E7" s="78">
        <v>2</v>
      </c>
      <c r="F7" s="78">
        <v>2</v>
      </c>
      <c r="G7" s="78">
        <v>2</v>
      </c>
      <c r="H7" s="78"/>
      <c r="I7" s="263"/>
      <c r="J7" s="263"/>
      <c r="K7" s="78">
        <v>2</v>
      </c>
      <c r="L7" s="78">
        <v>2</v>
      </c>
      <c r="M7" s="78">
        <v>2</v>
      </c>
      <c r="N7" s="78">
        <v>2</v>
      </c>
      <c r="O7" s="78"/>
      <c r="P7" s="263"/>
      <c r="Q7" s="263"/>
      <c r="R7" s="263"/>
      <c r="S7" s="263"/>
      <c r="T7" s="78"/>
      <c r="U7" s="78"/>
      <c r="V7" s="78"/>
      <c r="W7" s="263"/>
      <c r="X7" s="263"/>
      <c r="Y7" s="78">
        <v>2</v>
      </c>
      <c r="Z7" s="78">
        <v>2</v>
      </c>
      <c r="AA7" s="78">
        <v>2</v>
      </c>
      <c r="AB7" s="289">
        <v>1</v>
      </c>
      <c r="AC7" s="290"/>
      <c r="AD7" s="263"/>
      <c r="AE7" s="263"/>
      <c r="AF7" s="78">
        <v>2</v>
      </c>
      <c r="AG7" s="78">
        <v>2</v>
      </c>
      <c r="AH7" s="78">
        <v>2</v>
      </c>
      <c r="AI7" s="78">
        <v>2</v>
      </c>
      <c r="AJ7" s="57">
        <f t="shared" si="0"/>
        <v>29</v>
      </c>
      <c r="AK7" s="79">
        <f t="shared" si="1"/>
        <v>14.5</v>
      </c>
      <c r="AL7" s="11">
        <v>3850</v>
      </c>
      <c r="AM7" s="80">
        <f t="shared" si="2"/>
        <v>55825</v>
      </c>
      <c r="AN7" s="10"/>
      <c r="AO7" s="1"/>
      <c r="AP7" s="1"/>
    </row>
    <row r="8" spans="1:42" ht="15.6" thickTop="1" thickBot="1" x14ac:dyDescent="0.35">
      <c r="A8" s="219">
        <v>5</v>
      </c>
      <c r="B8" s="227" t="s">
        <v>82</v>
      </c>
      <c r="C8" s="228" t="s">
        <v>115</v>
      </c>
      <c r="D8" s="222">
        <v>30</v>
      </c>
      <c r="E8" s="72">
        <v>2</v>
      </c>
      <c r="F8" s="72">
        <v>2</v>
      </c>
      <c r="G8" s="72">
        <v>2</v>
      </c>
      <c r="H8" s="72">
        <v>2</v>
      </c>
      <c r="I8" s="263"/>
      <c r="J8" s="263"/>
      <c r="K8" s="72">
        <v>2</v>
      </c>
      <c r="L8" s="72">
        <v>2</v>
      </c>
      <c r="M8" s="72">
        <v>2</v>
      </c>
      <c r="N8" s="72">
        <v>2</v>
      </c>
      <c r="O8" s="72"/>
      <c r="P8" s="263"/>
      <c r="Q8" s="263"/>
      <c r="R8" s="263"/>
      <c r="S8" s="263"/>
      <c r="T8" s="72"/>
      <c r="U8" s="72">
        <v>2</v>
      </c>
      <c r="V8" s="72">
        <v>2</v>
      </c>
      <c r="W8" s="263"/>
      <c r="X8" s="263"/>
      <c r="Y8" s="72">
        <v>2</v>
      </c>
      <c r="Z8" s="72">
        <v>2</v>
      </c>
      <c r="AA8" s="72">
        <v>2</v>
      </c>
      <c r="AB8" s="72">
        <v>2</v>
      </c>
      <c r="AC8" s="72"/>
      <c r="AD8" s="263"/>
      <c r="AE8" s="263"/>
      <c r="AF8" s="72">
        <v>2</v>
      </c>
      <c r="AG8" s="72">
        <v>2</v>
      </c>
      <c r="AH8" s="72">
        <v>2</v>
      </c>
      <c r="AI8" s="72">
        <v>2</v>
      </c>
      <c r="AJ8" s="163">
        <f t="shared" si="0"/>
        <v>36</v>
      </c>
      <c r="AK8" s="99">
        <f t="shared" si="1"/>
        <v>18</v>
      </c>
      <c r="AL8" s="27">
        <v>5100</v>
      </c>
      <c r="AM8" s="100">
        <f t="shared" si="2"/>
        <v>91800</v>
      </c>
      <c r="AN8" s="6"/>
    </row>
    <row r="9" spans="1:42" ht="15.6" thickTop="1" thickBot="1" x14ac:dyDescent="0.35">
      <c r="A9" s="219">
        <v>6</v>
      </c>
      <c r="B9" s="229" t="s">
        <v>119</v>
      </c>
      <c r="C9" s="230" t="s">
        <v>48</v>
      </c>
      <c r="D9" s="231">
        <v>30</v>
      </c>
      <c r="E9" s="81">
        <v>2</v>
      </c>
      <c r="F9" s="81">
        <v>2</v>
      </c>
      <c r="G9" s="81">
        <v>2</v>
      </c>
      <c r="H9" s="81"/>
      <c r="I9" s="264"/>
      <c r="J9" s="264"/>
      <c r="K9" s="81">
        <v>2</v>
      </c>
      <c r="L9" s="81">
        <v>2</v>
      </c>
      <c r="M9" s="81">
        <v>2</v>
      </c>
      <c r="N9" s="81">
        <v>2</v>
      </c>
      <c r="O9" s="81"/>
      <c r="P9" s="264"/>
      <c r="Q9" s="264"/>
      <c r="R9" s="264"/>
      <c r="S9" s="264"/>
      <c r="T9" s="81"/>
      <c r="U9" s="287"/>
      <c r="V9" s="142"/>
      <c r="W9" s="264"/>
      <c r="X9" s="264"/>
      <c r="Y9" s="81">
        <v>2</v>
      </c>
      <c r="Z9" s="81">
        <v>2</v>
      </c>
      <c r="AA9" s="81">
        <v>2</v>
      </c>
      <c r="AB9" s="81">
        <v>2</v>
      </c>
      <c r="AC9" s="81"/>
      <c r="AD9" s="264"/>
      <c r="AE9" s="264"/>
      <c r="AF9" s="81">
        <v>2</v>
      </c>
      <c r="AG9" s="81">
        <v>2</v>
      </c>
      <c r="AH9" s="81">
        <v>2</v>
      </c>
      <c r="AI9" s="81">
        <v>2</v>
      </c>
      <c r="AJ9" s="164">
        <f t="shared" si="0"/>
        <v>30</v>
      </c>
      <c r="AK9" s="124">
        <f t="shared" si="1"/>
        <v>15</v>
      </c>
      <c r="AL9" s="125">
        <v>5100</v>
      </c>
      <c r="AM9" s="126">
        <f t="shared" si="2"/>
        <v>76500</v>
      </c>
      <c r="AN9" s="10"/>
    </row>
    <row r="10" spans="1:42" ht="15.6" thickTop="1" thickBot="1" x14ac:dyDescent="0.35">
      <c r="A10" s="165"/>
      <c r="B10" s="176" t="s">
        <v>60</v>
      </c>
      <c r="C10" s="185" t="s">
        <v>109</v>
      </c>
      <c r="D10" s="177">
        <v>30</v>
      </c>
      <c r="E10" s="178"/>
      <c r="F10" s="178"/>
      <c r="G10" s="178"/>
      <c r="H10" s="178"/>
      <c r="I10" s="266"/>
      <c r="J10" s="266"/>
      <c r="K10" s="178"/>
      <c r="L10" s="178"/>
      <c r="M10" s="178"/>
      <c r="N10" s="178"/>
      <c r="O10" s="178"/>
      <c r="P10" s="266"/>
      <c r="Q10" s="266"/>
      <c r="R10" s="266"/>
      <c r="S10" s="266"/>
      <c r="T10" s="178"/>
      <c r="U10" s="178"/>
      <c r="V10" s="178"/>
      <c r="W10" s="266"/>
      <c r="X10" s="266"/>
      <c r="Y10" s="178"/>
      <c r="Z10" s="178"/>
      <c r="AA10" s="178"/>
      <c r="AB10" s="178"/>
      <c r="AC10" s="178"/>
      <c r="AD10" s="266"/>
      <c r="AE10" s="266"/>
      <c r="AF10" s="178"/>
      <c r="AG10" s="178"/>
      <c r="AH10" s="178"/>
      <c r="AI10" s="178"/>
      <c r="AJ10" s="162">
        <f t="shared" si="0"/>
        <v>0</v>
      </c>
      <c r="AK10" s="76">
        <f>AJ10</f>
        <v>0</v>
      </c>
      <c r="AL10" s="12">
        <v>3400</v>
      </c>
      <c r="AM10" s="77">
        <f t="shared" si="2"/>
        <v>0</v>
      </c>
      <c r="AN10" s="6"/>
    </row>
    <row r="11" spans="1:42" ht="15.6" thickTop="1" thickBot="1" x14ac:dyDescent="0.35">
      <c r="A11" s="45"/>
      <c r="B11" s="28" t="s">
        <v>118</v>
      </c>
      <c r="C11" s="18" t="s">
        <v>63</v>
      </c>
      <c r="D11" s="42">
        <v>17</v>
      </c>
      <c r="E11" s="114"/>
      <c r="F11" s="114"/>
      <c r="G11" s="114"/>
      <c r="H11" s="114"/>
      <c r="I11" s="265"/>
      <c r="J11" s="265"/>
      <c r="K11" s="114"/>
      <c r="L11" s="114"/>
      <c r="M11" s="114"/>
      <c r="N11" s="114"/>
      <c r="O11" s="114"/>
      <c r="P11" s="265"/>
      <c r="Q11" s="265"/>
      <c r="R11" s="265"/>
      <c r="S11" s="265"/>
      <c r="T11" s="114"/>
      <c r="U11" s="114"/>
      <c r="V11" s="114"/>
      <c r="W11" s="265"/>
      <c r="X11" s="265"/>
      <c r="Y11" s="114"/>
      <c r="Z11" s="114"/>
      <c r="AA11" s="114"/>
      <c r="AB11" s="114"/>
      <c r="AC11" s="114"/>
      <c r="AD11" s="265"/>
      <c r="AE11" s="265"/>
      <c r="AF11" s="114"/>
      <c r="AG11" s="114"/>
      <c r="AH11" s="114"/>
      <c r="AI11" s="114"/>
      <c r="AJ11" s="162">
        <f t="shared" si="0"/>
        <v>0</v>
      </c>
      <c r="AK11" s="76">
        <f>AJ11</f>
        <v>0</v>
      </c>
      <c r="AL11" s="12">
        <v>2500</v>
      </c>
      <c r="AM11" s="77">
        <f t="shared" si="2"/>
        <v>0</v>
      </c>
      <c r="AN11" s="175"/>
    </row>
    <row r="12" spans="1:42" ht="15.6" thickTop="1" thickBot="1" x14ac:dyDescent="0.35">
      <c r="A12" s="51">
        <v>7</v>
      </c>
      <c r="B12" s="43" t="s">
        <v>51</v>
      </c>
      <c r="C12" s="30" t="s">
        <v>7</v>
      </c>
      <c r="D12" s="44">
        <v>17</v>
      </c>
      <c r="E12" s="73">
        <v>2</v>
      </c>
      <c r="F12" s="73">
        <v>2</v>
      </c>
      <c r="G12" s="73">
        <v>2</v>
      </c>
      <c r="H12" s="73"/>
      <c r="I12" s="264"/>
      <c r="J12" s="264"/>
      <c r="K12" s="73">
        <v>2</v>
      </c>
      <c r="L12" s="73">
        <v>2</v>
      </c>
      <c r="M12" s="73">
        <v>2</v>
      </c>
      <c r="N12" s="73">
        <v>2</v>
      </c>
      <c r="O12" s="73"/>
      <c r="P12" s="264"/>
      <c r="Q12" s="264"/>
      <c r="R12" s="264"/>
      <c r="S12" s="264"/>
      <c r="T12" s="73"/>
      <c r="U12" s="73"/>
      <c r="V12" s="73"/>
      <c r="W12" s="264"/>
      <c r="X12" s="264"/>
      <c r="Y12" s="73">
        <v>2</v>
      </c>
      <c r="Z12" s="73">
        <v>2</v>
      </c>
      <c r="AA12" s="73">
        <v>2</v>
      </c>
      <c r="AB12" s="73">
        <v>2</v>
      </c>
      <c r="AC12" s="73"/>
      <c r="AD12" s="264"/>
      <c r="AE12" s="264"/>
      <c r="AF12" s="73">
        <v>2</v>
      </c>
      <c r="AG12" s="73">
        <v>2</v>
      </c>
      <c r="AH12" s="73">
        <v>2</v>
      </c>
      <c r="AI12" s="73">
        <v>2</v>
      </c>
      <c r="AJ12" s="51">
        <f t="shared" si="0"/>
        <v>30</v>
      </c>
      <c r="AK12" s="82">
        <f>AJ12/2</f>
        <v>15</v>
      </c>
      <c r="AL12" s="16">
        <v>3750</v>
      </c>
      <c r="AM12" s="75">
        <f>AK12*AL12</f>
        <v>56250</v>
      </c>
      <c r="AN12" s="10"/>
    </row>
    <row r="13" spans="1:42" ht="15.6" thickTop="1" thickBot="1" x14ac:dyDescent="0.35">
      <c r="A13" s="45"/>
      <c r="B13" s="41" t="s">
        <v>64</v>
      </c>
      <c r="C13" s="137" t="s">
        <v>63</v>
      </c>
      <c r="D13" s="42">
        <v>17</v>
      </c>
      <c r="E13" s="114"/>
      <c r="F13" s="114"/>
      <c r="G13" s="114"/>
      <c r="H13" s="114"/>
      <c r="I13" s="265"/>
      <c r="J13" s="265"/>
      <c r="K13" s="114"/>
      <c r="L13" s="114"/>
      <c r="M13" s="114"/>
      <c r="N13" s="114"/>
      <c r="O13" s="114"/>
      <c r="P13" s="265"/>
      <c r="Q13" s="265"/>
      <c r="R13" s="265"/>
      <c r="S13" s="265"/>
      <c r="T13" s="114"/>
      <c r="U13" s="114"/>
      <c r="V13" s="114"/>
      <c r="W13" s="265"/>
      <c r="X13" s="265"/>
      <c r="Y13" s="114"/>
      <c r="Z13" s="114"/>
      <c r="AA13" s="114"/>
      <c r="AB13" s="114"/>
      <c r="AC13" s="114"/>
      <c r="AD13" s="265"/>
      <c r="AE13" s="265"/>
      <c r="AF13" s="114"/>
      <c r="AG13" s="114"/>
      <c r="AH13" s="114"/>
      <c r="AI13" s="114"/>
      <c r="AJ13" s="165">
        <f t="shared" si="0"/>
        <v>0</v>
      </c>
      <c r="AK13" s="76">
        <f>AJ13</f>
        <v>0</v>
      </c>
      <c r="AL13" s="12">
        <v>2333.33</v>
      </c>
      <c r="AM13" s="77">
        <f>AK13*AL13</f>
        <v>0</v>
      </c>
      <c r="AN13" s="10"/>
    </row>
    <row r="14" spans="1:42" ht="15.6" thickTop="1" thickBot="1" x14ac:dyDescent="0.35">
      <c r="A14" s="223">
        <v>8</v>
      </c>
      <c r="B14" s="224" t="s">
        <v>83</v>
      </c>
      <c r="C14" s="232" t="s">
        <v>49</v>
      </c>
      <c r="D14" s="226">
        <v>30</v>
      </c>
      <c r="E14" s="72">
        <v>2</v>
      </c>
      <c r="F14" s="72">
        <v>2</v>
      </c>
      <c r="G14" s="72">
        <v>2</v>
      </c>
      <c r="H14" s="72"/>
      <c r="I14" s="263"/>
      <c r="J14" s="263"/>
      <c r="K14" s="72">
        <v>2</v>
      </c>
      <c r="L14" s="72">
        <v>2</v>
      </c>
      <c r="M14" s="72">
        <v>2</v>
      </c>
      <c r="N14" s="72">
        <v>2</v>
      </c>
      <c r="O14" s="72">
        <v>2</v>
      </c>
      <c r="P14" s="263"/>
      <c r="Q14" s="263"/>
      <c r="R14" s="263"/>
      <c r="S14" s="263"/>
      <c r="T14" s="72">
        <v>2</v>
      </c>
      <c r="U14" s="72"/>
      <c r="V14" s="72"/>
      <c r="W14" s="263"/>
      <c r="X14" s="263"/>
      <c r="Y14" s="72">
        <v>2</v>
      </c>
      <c r="Z14" s="72">
        <v>2</v>
      </c>
      <c r="AA14" s="72">
        <v>2</v>
      </c>
      <c r="AB14" s="72">
        <v>2</v>
      </c>
      <c r="AC14" s="72">
        <v>2</v>
      </c>
      <c r="AD14" s="263"/>
      <c r="AE14" s="263"/>
      <c r="AF14" s="72">
        <v>2</v>
      </c>
      <c r="AG14" s="72">
        <v>2</v>
      </c>
      <c r="AH14" s="72">
        <v>2</v>
      </c>
      <c r="AI14" s="72">
        <v>2</v>
      </c>
      <c r="AJ14" s="157">
        <f t="shared" si="0"/>
        <v>36</v>
      </c>
      <c r="AK14" s="99">
        <f t="shared" si="1"/>
        <v>18</v>
      </c>
      <c r="AL14" s="27">
        <v>5100</v>
      </c>
      <c r="AM14" s="100">
        <f t="shared" si="2"/>
        <v>91800</v>
      </c>
      <c r="AN14" s="10"/>
    </row>
    <row r="15" spans="1:42" ht="15.6" thickTop="1" thickBot="1" x14ac:dyDescent="0.35">
      <c r="A15" s="47">
        <v>9</v>
      </c>
      <c r="B15" s="48" t="s">
        <v>81</v>
      </c>
      <c r="C15" s="24" t="s">
        <v>26</v>
      </c>
      <c r="D15" s="44">
        <v>17</v>
      </c>
      <c r="E15" s="73">
        <v>2</v>
      </c>
      <c r="F15" s="73">
        <v>2</v>
      </c>
      <c r="G15" s="73">
        <v>2</v>
      </c>
      <c r="H15" s="73">
        <v>2</v>
      </c>
      <c r="I15" s="264"/>
      <c r="J15" s="264"/>
      <c r="K15" s="73">
        <v>2</v>
      </c>
      <c r="L15" s="73">
        <v>2</v>
      </c>
      <c r="M15" s="73">
        <v>2</v>
      </c>
      <c r="N15" s="73">
        <v>2</v>
      </c>
      <c r="O15" s="73">
        <v>2</v>
      </c>
      <c r="P15" s="264"/>
      <c r="Q15" s="264"/>
      <c r="R15" s="264"/>
      <c r="S15" s="264"/>
      <c r="T15" s="73">
        <v>2</v>
      </c>
      <c r="U15" s="73">
        <v>2</v>
      </c>
      <c r="V15" s="73">
        <v>2</v>
      </c>
      <c r="W15" s="264"/>
      <c r="X15" s="264"/>
      <c r="Y15" s="73">
        <v>2</v>
      </c>
      <c r="Z15" s="73">
        <v>2</v>
      </c>
      <c r="AA15" s="73">
        <v>2</v>
      </c>
      <c r="AB15" s="73">
        <v>2</v>
      </c>
      <c r="AC15" s="73">
        <v>2</v>
      </c>
      <c r="AD15" s="264"/>
      <c r="AE15" s="264"/>
      <c r="AF15" s="73">
        <v>2</v>
      </c>
      <c r="AG15" s="73">
        <v>2</v>
      </c>
      <c r="AH15" s="73">
        <v>2</v>
      </c>
      <c r="AI15" s="73">
        <v>2</v>
      </c>
      <c r="AJ15" s="166">
        <f t="shared" si="0"/>
        <v>42</v>
      </c>
      <c r="AK15" s="82">
        <f t="shared" si="1"/>
        <v>21</v>
      </c>
      <c r="AL15" s="16">
        <v>2300</v>
      </c>
      <c r="AM15" s="75">
        <f>AK15*AL15</f>
        <v>48300</v>
      </c>
      <c r="AN15" s="10"/>
    </row>
    <row r="16" spans="1:42" ht="15.6" thickTop="1" thickBot="1" x14ac:dyDescent="0.35">
      <c r="A16" s="45"/>
      <c r="B16" s="46" t="s">
        <v>25</v>
      </c>
      <c r="C16" s="137" t="s">
        <v>34</v>
      </c>
      <c r="D16" s="42">
        <v>17</v>
      </c>
      <c r="E16" s="114"/>
      <c r="F16" s="114"/>
      <c r="G16" s="114"/>
      <c r="H16" s="114"/>
      <c r="I16" s="265"/>
      <c r="J16" s="265"/>
      <c r="K16" s="114"/>
      <c r="L16" s="114"/>
      <c r="M16" s="114"/>
      <c r="N16" s="114"/>
      <c r="O16" s="114"/>
      <c r="P16" s="265"/>
      <c r="Q16" s="265"/>
      <c r="R16" s="265"/>
      <c r="S16" s="265"/>
      <c r="T16" s="114"/>
      <c r="U16" s="114"/>
      <c r="V16" s="114"/>
      <c r="W16" s="265"/>
      <c r="X16" s="265"/>
      <c r="Y16" s="114"/>
      <c r="Z16" s="114"/>
      <c r="AA16" s="114"/>
      <c r="AB16" s="114"/>
      <c r="AC16" s="114"/>
      <c r="AD16" s="265"/>
      <c r="AE16" s="265"/>
      <c r="AF16" s="114"/>
      <c r="AG16" s="114"/>
      <c r="AH16" s="114"/>
      <c r="AI16" s="114"/>
      <c r="AJ16" s="162">
        <f t="shared" si="0"/>
        <v>0</v>
      </c>
      <c r="AK16" s="76">
        <f>AJ16</f>
        <v>0</v>
      </c>
      <c r="AL16" s="12">
        <v>1533.33</v>
      </c>
      <c r="AM16" s="77">
        <f>AK16*AL16</f>
        <v>0</v>
      </c>
      <c r="AN16" s="10"/>
    </row>
    <row r="17" spans="1:40" ht="15.6" thickTop="1" thickBot="1" x14ac:dyDescent="0.35">
      <c r="A17" s="47">
        <v>10</v>
      </c>
      <c r="B17" s="29" t="s">
        <v>84</v>
      </c>
      <c r="C17" s="30" t="s">
        <v>42</v>
      </c>
      <c r="D17" s="44">
        <v>17</v>
      </c>
      <c r="E17" s="73">
        <v>2</v>
      </c>
      <c r="F17" s="73">
        <v>2</v>
      </c>
      <c r="G17" s="73">
        <v>2</v>
      </c>
      <c r="H17" s="73"/>
      <c r="I17" s="264"/>
      <c r="J17" s="264"/>
      <c r="K17" s="73">
        <v>2</v>
      </c>
      <c r="L17" s="73">
        <v>2</v>
      </c>
      <c r="M17" s="73">
        <v>2</v>
      </c>
      <c r="N17" s="73">
        <v>2</v>
      </c>
      <c r="O17" s="73"/>
      <c r="P17" s="264"/>
      <c r="Q17" s="264"/>
      <c r="R17" s="264"/>
      <c r="S17" s="264"/>
      <c r="T17" s="73"/>
      <c r="U17" s="73"/>
      <c r="V17" s="73"/>
      <c r="W17" s="264"/>
      <c r="X17" s="264"/>
      <c r="Y17" s="73">
        <v>2</v>
      </c>
      <c r="Z17" s="73">
        <v>2</v>
      </c>
      <c r="AA17" s="73">
        <v>2</v>
      </c>
      <c r="AB17" s="73">
        <v>2</v>
      </c>
      <c r="AC17" s="73"/>
      <c r="AD17" s="264"/>
      <c r="AE17" s="264"/>
      <c r="AF17" s="73">
        <v>2</v>
      </c>
      <c r="AG17" s="73">
        <v>2</v>
      </c>
      <c r="AH17" s="73">
        <v>2</v>
      </c>
      <c r="AI17" s="73">
        <v>2</v>
      </c>
      <c r="AJ17" s="166">
        <f t="shared" si="0"/>
        <v>30</v>
      </c>
      <c r="AK17" s="74">
        <f>AJ17/2</f>
        <v>15</v>
      </c>
      <c r="AL17" s="16">
        <v>2300</v>
      </c>
      <c r="AM17" s="75">
        <f t="shared" si="2"/>
        <v>34500</v>
      </c>
      <c r="AN17" s="10"/>
    </row>
    <row r="18" spans="1:40" ht="15.6" thickTop="1" thickBot="1" x14ac:dyDescent="0.35">
      <c r="A18" s="45"/>
      <c r="B18" s="46" t="s">
        <v>53</v>
      </c>
      <c r="C18" s="137"/>
      <c r="D18" s="42">
        <v>17</v>
      </c>
      <c r="E18" s="114"/>
      <c r="F18" s="114"/>
      <c r="G18" s="114"/>
      <c r="H18" s="114"/>
      <c r="I18" s="265"/>
      <c r="J18" s="265"/>
      <c r="K18" s="114"/>
      <c r="L18" s="114"/>
      <c r="M18" s="114"/>
      <c r="N18" s="114"/>
      <c r="O18" s="114"/>
      <c r="P18" s="265"/>
      <c r="Q18" s="265"/>
      <c r="R18" s="265"/>
      <c r="S18" s="265"/>
      <c r="T18" s="114"/>
      <c r="U18" s="114"/>
      <c r="V18" s="114"/>
      <c r="W18" s="265"/>
      <c r="X18" s="265"/>
      <c r="Y18" s="114"/>
      <c r="Z18" s="114"/>
      <c r="AA18" s="114"/>
      <c r="AB18" s="114"/>
      <c r="AC18" s="114"/>
      <c r="AD18" s="265"/>
      <c r="AE18" s="265"/>
      <c r="AF18" s="114"/>
      <c r="AG18" s="114"/>
      <c r="AH18" s="114"/>
      <c r="AI18" s="114"/>
      <c r="AJ18" s="162">
        <f t="shared" si="0"/>
        <v>0</v>
      </c>
      <c r="AK18" s="76">
        <f>AJ18</f>
        <v>0</v>
      </c>
      <c r="AL18" s="12">
        <v>1533.33</v>
      </c>
      <c r="AM18" s="77">
        <f t="shared" si="2"/>
        <v>0</v>
      </c>
      <c r="AN18" s="10"/>
    </row>
    <row r="19" spans="1:40" ht="15.6" thickTop="1" thickBot="1" x14ac:dyDescent="0.35">
      <c r="A19" s="38">
        <v>11</v>
      </c>
      <c r="B19" s="29" t="s">
        <v>80</v>
      </c>
      <c r="C19" s="30" t="s">
        <v>122</v>
      </c>
      <c r="D19" s="44">
        <v>17</v>
      </c>
      <c r="E19" s="73">
        <v>2</v>
      </c>
      <c r="F19" s="73">
        <v>2</v>
      </c>
      <c r="G19" s="73">
        <v>2</v>
      </c>
      <c r="H19" s="73"/>
      <c r="I19" s="264"/>
      <c r="J19" s="264"/>
      <c r="K19" s="73">
        <v>2</v>
      </c>
      <c r="L19" s="73">
        <v>2</v>
      </c>
      <c r="M19" s="73">
        <v>2</v>
      </c>
      <c r="N19" s="73">
        <v>2</v>
      </c>
      <c r="O19" s="73"/>
      <c r="P19" s="264"/>
      <c r="Q19" s="264"/>
      <c r="R19" s="264"/>
      <c r="S19" s="264"/>
      <c r="T19" s="73"/>
      <c r="U19" s="73"/>
      <c r="V19" s="73"/>
      <c r="W19" s="264"/>
      <c r="X19" s="264"/>
      <c r="Y19" s="73">
        <v>2</v>
      </c>
      <c r="Z19" s="73">
        <v>2</v>
      </c>
      <c r="AA19" s="73">
        <v>2</v>
      </c>
      <c r="AB19" s="73">
        <v>2</v>
      </c>
      <c r="AC19" s="73"/>
      <c r="AD19" s="264"/>
      <c r="AE19" s="264"/>
      <c r="AF19" s="73">
        <v>2</v>
      </c>
      <c r="AG19" s="73">
        <v>2</v>
      </c>
      <c r="AH19" s="73">
        <v>2</v>
      </c>
      <c r="AI19" s="73">
        <v>2</v>
      </c>
      <c r="AJ19" s="54">
        <f t="shared" si="0"/>
        <v>30</v>
      </c>
      <c r="AK19" s="79">
        <f>AJ19/2</f>
        <v>15</v>
      </c>
      <c r="AL19" s="11">
        <v>2300</v>
      </c>
      <c r="AM19" s="80">
        <f t="shared" si="2"/>
        <v>34500</v>
      </c>
      <c r="AN19" s="10"/>
    </row>
    <row r="20" spans="1:40" ht="15.6" thickTop="1" thickBot="1" x14ac:dyDescent="0.35">
      <c r="A20" s="219">
        <v>12</v>
      </c>
      <c r="B20" s="233" t="s">
        <v>79</v>
      </c>
      <c r="C20" s="234" t="s">
        <v>107</v>
      </c>
      <c r="D20" s="235">
        <v>30</v>
      </c>
      <c r="E20" s="142">
        <v>2</v>
      </c>
      <c r="F20" s="142">
        <v>2</v>
      </c>
      <c r="G20" s="142">
        <v>2</v>
      </c>
      <c r="H20" s="142"/>
      <c r="I20" s="267"/>
      <c r="J20" s="267"/>
      <c r="K20" s="142">
        <v>2</v>
      </c>
      <c r="L20" s="142">
        <v>2</v>
      </c>
      <c r="M20" s="142">
        <v>2</v>
      </c>
      <c r="N20" s="142">
        <v>2</v>
      </c>
      <c r="O20" s="142"/>
      <c r="P20" s="267"/>
      <c r="Q20" s="267"/>
      <c r="R20" s="267"/>
      <c r="S20" s="267"/>
      <c r="T20" s="142"/>
      <c r="U20" s="142">
        <v>2</v>
      </c>
      <c r="V20" s="142">
        <v>2</v>
      </c>
      <c r="W20" s="267"/>
      <c r="X20" s="267"/>
      <c r="Y20" s="142">
        <v>2</v>
      </c>
      <c r="Z20" s="142">
        <v>2</v>
      </c>
      <c r="AA20" s="142">
        <v>2</v>
      </c>
      <c r="AB20" s="142">
        <v>2</v>
      </c>
      <c r="AC20" s="142"/>
      <c r="AD20" s="267"/>
      <c r="AE20" s="267"/>
      <c r="AF20" s="142">
        <v>2</v>
      </c>
      <c r="AG20" s="142">
        <v>2</v>
      </c>
      <c r="AH20" s="142">
        <v>2</v>
      </c>
      <c r="AI20" s="142">
        <v>2</v>
      </c>
      <c r="AJ20" s="168">
        <f t="shared" si="0"/>
        <v>34</v>
      </c>
      <c r="AK20" s="124">
        <f>AJ20/2</f>
        <v>17</v>
      </c>
      <c r="AL20" s="125">
        <v>3750</v>
      </c>
      <c r="AM20" s="181">
        <f t="shared" si="2"/>
        <v>63750</v>
      </c>
      <c r="AN20" s="10"/>
    </row>
    <row r="21" spans="1:40" ht="15.6" thickTop="1" thickBot="1" x14ac:dyDescent="0.35">
      <c r="A21" s="183"/>
      <c r="B21" s="237" t="s">
        <v>24</v>
      </c>
      <c r="C21" s="236" t="s">
        <v>108</v>
      </c>
      <c r="D21" s="184">
        <v>30</v>
      </c>
      <c r="E21" s="114"/>
      <c r="F21" s="114"/>
      <c r="G21" s="114"/>
      <c r="H21" s="114"/>
      <c r="I21" s="265"/>
      <c r="J21" s="265"/>
      <c r="K21" s="114"/>
      <c r="L21" s="114"/>
      <c r="M21" s="114"/>
      <c r="N21" s="114"/>
      <c r="O21" s="114"/>
      <c r="P21" s="265"/>
      <c r="Q21" s="265"/>
      <c r="R21" s="265"/>
      <c r="S21" s="265"/>
      <c r="T21" s="114"/>
      <c r="U21" s="114"/>
      <c r="V21" s="114"/>
      <c r="W21" s="265"/>
      <c r="X21" s="265"/>
      <c r="Y21" s="114"/>
      <c r="Z21" s="114"/>
      <c r="AA21" s="114"/>
      <c r="AB21" s="114"/>
      <c r="AC21" s="114"/>
      <c r="AD21" s="265"/>
      <c r="AE21" s="265"/>
      <c r="AF21" s="114"/>
      <c r="AG21" s="114"/>
      <c r="AH21" s="114"/>
      <c r="AI21" s="114"/>
      <c r="AJ21" s="162">
        <f>SUM(E21:AI21)</f>
        <v>0</v>
      </c>
      <c r="AK21" s="76">
        <f>AJ21</f>
        <v>0</v>
      </c>
      <c r="AL21" s="12">
        <v>2500</v>
      </c>
      <c r="AM21" s="77">
        <f>AK21*AL21</f>
        <v>0</v>
      </c>
      <c r="AN21" s="10"/>
    </row>
    <row r="22" spans="1:40" ht="15.6" thickTop="1" thickBot="1" x14ac:dyDescent="0.35">
      <c r="A22" s="51">
        <v>13</v>
      </c>
      <c r="B22" s="52" t="s">
        <v>85</v>
      </c>
      <c r="C22" s="31" t="s">
        <v>21</v>
      </c>
      <c r="D22" s="44">
        <v>17</v>
      </c>
      <c r="E22" s="73">
        <v>2</v>
      </c>
      <c r="F22" s="73">
        <v>2</v>
      </c>
      <c r="G22" s="73">
        <v>2</v>
      </c>
      <c r="H22" s="73"/>
      <c r="I22" s="264"/>
      <c r="J22" s="264"/>
      <c r="K22" s="73">
        <v>2</v>
      </c>
      <c r="L22" s="73">
        <v>2</v>
      </c>
      <c r="M22" s="73">
        <v>2</v>
      </c>
      <c r="N22" s="73">
        <v>2</v>
      </c>
      <c r="O22" s="73"/>
      <c r="P22" s="264"/>
      <c r="Q22" s="264"/>
      <c r="R22" s="264"/>
      <c r="S22" s="264"/>
      <c r="T22" s="73"/>
      <c r="U22" s="73"/>
      <c r="V22" s="73"/>
      <c r="W22" s="264"/>
      <c r="X22" s="264"/>
      <c r="Y22" s="73">
        <v>2</v>
      </c>
      <c r="Z22" s="73">
        <v>2</v>
      </c>
      <c r="AA22" s="73">
        <v>2</v>
      </c>
      <c r="AB22" s="73">
        <v>2</v>
      </c>
      <c r="AC22" s="73"/>
      <c r="AD22" s="264"/>
      <c r="AE22" s="264"/>
      <c r="AF22" s="73">
        <v>2</v>
      </c>
      <c r="AG22" s="73">
        <v>2</v>
      </c>
      <c r="AH22" s="73">
        <v>2</v>
      </c>
      <c r="AI22" s="73">
        <v>2</v>
      </c>
      <c r="AJ22" s="51">
        <f t="shared" si="0"/>
        <v>30</v>
      </c>
      <c r="AK22" s="74">
        <f>AJ22/2</f>
        <v>15</v>
      </c>
      <c r="AL22" s="16">
        <v>2300</v>
      </c>
      <c r="AM22" s="75">
        <f t="shared" si="2"/>
        <v>34500</v>
      </c>
      <c r="AN22" s="10"/>
    </row>
    <row r="23" spans="1:40" ht="15.6" thickTop="1" thickBot="1" x14ac:dyDescent="0.35">
      <c r="A23" s="34"/>
      <c r="B23" s="28" t="s">
        <v>56</v>
      </c>
      <c r="C23" s="18" t="s">
        <v>16</v>
      </c>
      <c r="D23" s="35">
        <v>17</v>
      </c>
      <c r="E23" s="114"/>
      <c r="F23" s="114"/>
      <c r="G23" s="114"/>
      <c r="H23" s="114"/>
      <c r="I23" s="265"/>
      <c r="J23" s="265"/>
      <c r="K23" s="114"/>
      <c r="L23" s="114"/>
      <c r="M23" s="114"/>
      <c r="N23" s="114"/>
      <c r="O23" s="114"/>
      <c r="P23" s="265"/>
      <c r="Q23" s="265"/>
      <c r="R23" s="265"/>
      <c r="S23" s="265"/>
      <c r="T23" s="114"/>
      <c r="U23" s="114"/>
      <c r="V23" s="114"/>
      <c r="W23" s="265"/>
      <c r="X23" s="265"/>
      <c r="Y23" s="114"/>
      <c r="Z23" s="114"/>
      <c r="AA23" s="114"/>
      <c r="AB23" s="114"/>
      <c r="AC23" s="114"/>
      <c r="AD23" s="265"/>
      <c r="AE23" s="265"/>
      <c r="AF23" s="114"/>
      <c r="AG23" s="114"/>
      <c r="AH23" s="114"/>
      <c r="AI23" s="114"/>
      <c r="AJ23" s="162">
        <f t="shared" si="0"/>
        <v>0</v>
      </c>
      <c r="AK23" s="76">
        <f>AJ23</f>
        <v>0</v>
      </c>
      <c r="AL23" s="12">
        <v>1533.33</v>
      </c>
      <c r="AM23" s="85">
        <f t="shared" si="2"/>
        <v>0</v>
      </c>
      <c r="AN23" s="10"/>
    </row>
    <row r="24" spans="1:40" ht="15.6" thickTop="1" thickBot="1" x14ac:dyDescent="0.35">
      <c r="A24" s="51">
        <v>14</v>
      </c>
      <c r="B24" s="29" t="s">
        <v>99</v>
      </c>
      <c r="C24" s="30" t="s">
        <v>8</v>
      </c>
      <c r="D24" s="44">
        <v>20</v>
      </c>
      <c r="E24" s="73">
        <v>2</v>
      </c>
      <c r="F24" s="73">
        <v>2</v>
      </c>
      <c r="G24" s="73">
        <v>2</v>
      </c>
      <c r="H24" s="73">
        <v>2</v>
      </c>
      <c r="I24" s="264"/>
      <c r="J24" s="264"/>
      <c r="K24" s="73">
        <v>2</v>
      </c>
      <c r="L24" s="73">
        <v>2</v>
      </c>
      <c r="M24" s="73">
        <v>2</v>
      </c>
      <c r="N24" s="73">
        <v>2</v>
      </c>
      <c r="O24" s="73">
        <v>2</v>
      </c>
      <c r="P24" s="264"/>
      <c r="Q24" s="264"/>
      <c r="R24" s="264"/>
      <c r="S24" s="264"/>
      <c r="T24" s="73">
        <v>2</v>
      </c>
      <c r="U24" s="73">
        <v>2</v>
      </c>
      <c r="V24" s="73">
        <v>2</v>
      </c>
      <c r="W24" s="264"/>
      <c r="X24" s="264"/>
      <c r="Y24" s="73">
        <v>2</v>
      </c>
      <c r="Z24" s="73">
        <v>2</v>
      </c>
      <c r="AA24" s="73">
        <v>2</v>
      </c>
      <c r="AB24" s="73">
        <v>2</v>
      </c>
      <c r="AC24" s="73"/>
      <c r="AD24" s="264"/>
      <c r="AE24" s="264"/>
      <c r="AF24" s="73">
        <v>2</v>
      </c>
      <c r="AG24" s="73">
        <v>2</v>
      </c>
      <c r="AH24" s="73">
        <v>2</v>
      </c>
      <c r="AI24" s="73">
        <v>2</v>
      </c>
      <c r="AJ24" s="167">
        <f t="shared" si="0"/>
        <v>40</v>
      </c>
      <c r="AK24" s="86">
        <f>AJ24/2</f>
        <v>20</v>
      </c>
      <c r="AL24" s="20">
        <v>3850</v>
      </c>
      <c r="AM24" s="75">
        <f>AK24*AL24</f>
        <v>77000</v>
      </c>
      <c r="AN24" s="10"/>
    </row>
    <row r="25" spans="1:40" ht="15.6" thickTop="1" thickBot="1" x14ac:dyDescent="0.35">
      <c r="A25" s="45"/>
      <c r="B25" s="28" t="s">
        <v>16</v>
      </c>
      <c r="C25" s="18" t="s">
        <v>23</v>
      </c>
      <c r="D25" s="53">
        <v>20</v>
      </c>
      <c r="E25" s="114"/>
      <c r="F25" s="114"/>
      <c r="G25" s="114"/>
      <c r="H25" s="114"/>
      <c r="I25" s="265"/>
      <c r="J25" s="265"/>
      <c r="K25" s="114"/>
      <c r="L25" s="114"/>
      <c r="M25" s="114"/>
      <c r="N25" s="114"/>
      <c r="O25" s="114"/>
      <c r="P25" s="265"/>
      <c r="Q25" s="265"/>
      <c r="R25" s="265"/>
      <c r="S25" s="265"/>
      <c r="T25" s="114"/>
      <c r="U25" s="114"/>
      <c r="V25" s="114"/>
      <c r="W25" s="265"/>
      <c r="X25" s="265"/>
      <c r="Y25" s="114"/>
      <c r="Z25" s="114"/>
      <c r="AA25" s="114"/>
      <c r="AB25" s="114"/>
      <c r="AC25" s="114"/>
      <c r="AD25" s="265"/>
      <c r="AE25" s="265"/>
      <c r="AF25" s="114"/>
      <c r="AG25" s="114"/>
      <c r="AH25" s="114"/>
      <c r="AI25" s="114"/>
      <c r="AJ25" s="162">
        <f t="shared" si="0"/>
        <v>0</v>
      </c>
      <c r="AK25" s="76">
        <f>AJ25</f>
        <v>0</v>
      </c>
      <c r="AL25" s="12">
        <v>2566.67</v>
      </c>
      <c r="AM25" s="77">
        <f t="shared" si="2"/>
        <v>0</v>
      </c>
      <c r="AN25" s="10"/>
    </row>
    <row r="26" spans="1:40" ht="15.6" thickTop="1" thickBot="1" x14ac:dyDescent="0.35">
      <c r="A26" s="54">
        <v>15</v>
      </c>
      <c r="B26" s="55" t="s">
        <v>72</v>
      </c>
      <c r="C26" s="25" t="s">
        <v>11</v>
      </c>
      <c r="D26" s="37">
        <v>17</v>
      </c>
      <c r="E26" s="78">
        <v>2</v>
      </c>
      <c r="F26" s="78">
        <v>2</v>
      </c>
      <c r="G26" s="78">
        <v>2</v>
      </c>
      <c r="H26" s="78">
        <v>2</v>
      </c>
      <c r="I26" s="263"/>
      <c r="J26" s="263"/>
      <c r="K26" s="78">
        <v>2</v>
      </c>
      <c r="L26" s="78">
        <v>2</v>
      </c>
      <c r="M26" s="78">
        <v>2</v>
      </c>
      <c r="N26" s="78">
        <v>2</v>
      </c>
      <c r="O26" s="78"/>
      <c r="P26" s="263"/>
      <c r="Q26" s="263"/>
      <c r="R26" s="263"/>
      <c r="S26" s="263"/>
      <c r="T26" s="78"/>
      <c r="U26" s="78"/>
      <c r="V26" s="78"/>
      <c r="W26" s="263"/>
      <c r="X26" s="263"/>
      <c r="Y26" s="78">
        <v>2</v>
      </c>
      <c r="Z26" s="78">
        <v>2</v>
      </c>
      <c r="AA26" s="78">
        <v>2</v>
      </c>
      <c r="AB26" s="78">
        <v>2</v>
      </c>
      <c r="AC26" s="78"/>
      <c r="AD26" s="263"/>
      <c r="AE26" s="263"/>
      <c r="AF26" s="78">
        <v>2</v>
      </c>
      <c r="AG26" s="78">
        <v>2</v>
      </c>
      <c r="AH26" s="78">
        <v>2</v>
      </c>
      <c r="AI26" s="78">
        <v>2</v>
      </c>
      <c r="AJ26" s="54">
        <f t="shared" si="0"/>
        <v>32</v>
      </c>
      <c r="AK26" s="87">
        <f>AJ26/2</f>
        <v>16</v>
      </c>
      <c r="AL26" s="11">
        <v>2300</v>
      </c>
      <c r="AM26" s="80">
        <f t="shared" si="2"/>
        <v>36800</v>
      </c>
      <c r="AN26" s="10"/>
    </row>
    <row r="27" spans="1:40" ht="15.6" thickTop="1" thickBot="1" x14ac:dyDescent="0.35">
      <c r="A27" s="47">
        <v>16</v>
      </c>
      <c r="B27" s="48" t="s">
        <v>20</v>
      </c>
      <c r="C27" s="24" t="s">
        <v>14</v>
      </c>
      <c r="D27" s="44">
        <v>17</v>
      </c>
      <c r="E27" s="73">
        <v>2</v>
      </c>
      <c r="F27" s="73">
        <v>2</v>
      </c>
      <c r="G27" s="73">
        <v>2</v>
      </c>
      <c r="H27" s="73"/>
      <c r="I27" s="264"/>
      <c r="J27" s="264"/>
      <c r="K27" s="73">
        <v>2</v>
      </c>
      <c r="L27" s="73">
        <v>2</v>
      </c>
      <c r="M27" s="73">
        <v>2</v>
      </c>
      <c r="N27" s="73">
        <v>2</v>
      </c>
      <c r="O27" s="73"/>
      <c r="P27" s="264"/>
      <c r="Q27" s="264"/>
      <c r="R27" s="264"/>
      <c r="S27" s="264"/>
      <c r="T27" s="73"/>
      <c r="U27" s="73"/>
      <c r="V27" s="73"/>
      <c r="W27" s="264"/>
      <c r="X27" s="264"/>
      <c r="Y27" s="73">
        <v>2</v>
      </c>
      <c r="Z27" s="73">
        <v>2</v>
      </c>
      <c r="AA27" s="73">
        <v>2</v>
      </c>
      <c r="AB27" s="73">
        <v>2</v>
      </c>
      <c r="AC27" s="73"/>
      <c r="AD27" s="264"/>
      <c r="AE27" s="264"/>
      <c r="AF27" s="73">
        <v>2</v>
      </c>
      <c r="AG27" s="73">
        <v>2</v>
      </c>
      <c r="AH27" s="73">
        <v>2</v>
      </c>
      <c r="AI27" s="73">
        <v>2</v>
      </c>
      <c r="AJ27" s="166">
        <f t="shared" si="0"/>
        <v>30</v>
      </c>
      <c r="AK27" s="82">
        <f>AJ27/2</f>
        <v>15</v>
      </c>
      <c r="AL27" s="16">
        <v>3100</v>
      </c>
      <c r="AM27" s="75">
        <f t="shared" si="2"/>
        <v>46500</v>
      </c>
      <c r="AN27" s="10"/>
    </row>
    <row r="28" spans="1:40" ht="15.6" thickTop="1" thickBot="1" x14ac:dyDescent="0.35">
      <c r="A28" s="45"/>
      <c r="B28" s="28" t="s">
        <v>16</v>
      </c>
      <c r="C28" s="18" t="s">
        <v>23</v>
      </c>
      <c r="D28" s="53">
        <v>17</v>
      </c>
      <c r="E28" s="114"/>
      <c r="F28" s="114"/>
      <c r="G28" s="114"/>
      <c r="H28" s="114"/>
      <c r="I28" s="265"/>
      <c r="J28" s="265"/>
      <c r="K28" s="114"/>
      <c r="L28" s="114"/>
      <c r="M28" s="114"/>
      <c r="N28" s="114"/>
      <c r="O28" s="114"/>
      <c r="P28" s="265"/>
      <c r="Q28" s="265"/>
      <c r="R28" s="265"/>
      <c r="S28" s="265"/>
      <c r="T28" s="114"/>
      <c r="U28" s="114"/>
      <c r="V28" s="114"/>
      <c r="W28" s="265"/>
      <c r="X28" s="265"/>
      <c r="Y28" s="114"/>
      <c r="Z28" s="114"/>
      <c r="AA28" s="114"/>
      <c r="AB28" s="114"/>
      <c r="AC28" s="114"/>
      <c r="AD28" s="265"/>
      <c r="AE28" s="265"/>
      <c r="AF28" s="114"/>
      <c r="AG28" s="114"/>
      <c r="AH28" s="114"/>
      <c r="AI28" s="114"/>
      <c r="AJ28" s="162">
        <f t="shared" si="0"/>
        <v>0</v>
      </c>
      <c r="AK28" s="76">
        <f>AJ28</f>
        <v>0</v>
      </c>
      <c r="AL28" s="12">
        <v>2066.67</v>
      </c>
      <c r="AM28" s="77">
        <f t="shared" si="2"/>
        <v>0</v>
      </c>
      <c r="AN28" s="10"/>
    </row>
    <row r="29" spans="1:40" ht="15.6" thickTop="1" thickBot="1" x14ac:dyDescent="0.35">
      <c r="A29" s="54">
        <v>17</v>
      </c>
      <c r="B29" s="29" t="s">
        <v>19</v>
      </c>
      <c r="C29" s="30" t="s">
        <v>50</v>
      </c>
      <c r="D29" s="37">
        <v>17</v>
      </c>
      <c r="E29" s="78">
        <v>2</v>
      </c>
      <c r="F29" s="78">
        <v>2</v>
      </c>
      <c r="G29" s="78">
        <v>2</v>
      </c>
      <c r="H29" s="78"/>
      <c r="I29" s="263"/>
      <c r="J29" s="263"/>
      <c r="K29" s="78">
        <v>2</v>
      </c>
      <c r="L29" s="78">
        <v>2</v>
      </c>
      <c r="M29" s="78">
        <v>2</v>
      </c>
      <c r="N29" s="78">
        <v>2</v>
      </c>
      <c r="O29" s="78"/>
      <c r="P29" s="263"/>
      <c r="Q29" s="263"/>
      <c r="R29" s="263"/>
      <c r="S29" s="263"/>
      <c r="T29" s="78"/>
      <c r="U29" s="78"/>
      <c r="V29" s="78"/>
      <c r="W29" s="263"/>
      <c r="X29" s="263"/>
      <c r="Y29" s="78">
        <v>2</v>
      </c>
      <c r="Z29" s="78">
        <v>2</v>
      </c>
      <c r="AA29" s="78">
        <v>2</v>
      </c>
      <c r="AB29" s="78">
        <v>2</v>
      </c>
      <c r="AC29" s="78"/>
      <c r="AD29" s="263"/>
      <c r="AE29" s="263"/>
      <c r="AF29" s="78">
        <v>2</v>
      </c>
      <c r="AG29" s="78">
        <v>2</v>
      </c>
      <c r="AH29" s="78">
        <v>2</v>
      </c>
      <c r="AI29" s="78">
        <v>2</v>
      </c>
      <c r="AJ29" s="54">
        <f t="shared" si="0"/>
        <v>30</v>
      </c>
      <c r="AK29" s="79">
        <f>AJ29/2</f>
        <v>15</v>
      </c>
      <c r="AL29" s="11">
        <v>3100</v>
      </c>
      <c r="AM29" s="80">
        <f t="shared" si="2"/>
        <v>46500</v>
      </c>
      <c r="AN29" s="10"/>
    </row>
    <row r="30" spans="1:40" ht="15.6" thickTop="1" thickBot="1" x14ac:dyDescent="0.35">
      <c r="A30" s="47">
        <v>18</v>
      </c>
      <c r="B30" s="48" t="s">
        <v>18</v>
      </c>
      <c r="C30" s="24" t="s">
        <v>111</v>
      </c>
      <c r="D30" s="56">
        <v>17</v>
      </c>
      <c r="E30" s="73">
        <v>2</v>
      </c>
      <c r="F30" s="73">
        <v>2</v>
      </c>
      <c r="G30" s="73">
        <v>2</v>
      </c>
      <c r="H30" s="73"/>
      <c r="I30" s="264"/>
      <c r="J30" s="264"/>
      <c r="K30" s="73">
        <v>2</v>
      </c>
      <c r="L30" s="73">
        <v>2</v>
      </c>
      <c r="M30" s="73">
        <v>2</v>
      </c>
      <c r="N30" s="73">
        <v>2</v>
      </c>
      <c r="O30" s="73"/>
      <c r="P30" s="264"/>
      <c r="Q30" s="264"/>
      <c r="R30" s="264"/>
      <c r="S30" s="264"/>
      <c r="T30" s="73"/>
      <c r="U30" s="73"/>
      <c r="V30" s="73"/>
      <c r="W30" s="264"/>
      <c r="X30" s="264"/>
      <c r="Y30" s="73">
        <v>2</v>
      </c>
      <c r="Z30" s="73">
        <v>2</v>
      </c>
      <c r="AA30" s="73">
        <v>2</v>
      </c>
      <c r="AB30" s="73">
        <v>2</v>
      </c>
      <c r="AC30" s="73"/>
      <c r="AD30" s="264"/>
      <c r="AE30" s="264"/>
      <c r="AF30" s="73">
        <v>2</v>
      </c>
      <c r="AG30" s="73">
        <v>2</v>
      </c>
      <c r="AH30" s="73">
        <v>2</v>
      </c>
      <c r="AI30" s="73">
        <v>2</v>
      </c>
      <c r="AJ30" s="166">
        <f t="shared" si="0"/>
        <v>30</v>
      </c>
      <c r="AK30" s="88">
        <f>AJ30/2</f>
        <v>15</v>
      </c>
      <c r="AL30" s="14">
        <v>3700</v>
      </c>
      <c r="AM30" s="89">
        <f t="shared" si="2"/>
        <v>55500</v>
      </c>
      <c r="AN30" s="10"/>
    </row>
    <row r="31" spans="1:40" ht="15.6" thickTop="1" thickBot="1" x14ac:dyDescent="0.35">
      <c r="A31" s="57">
        <v>19</v>
      </c>
      <c r="B31" s="58" t="s">
        <v>78</v>
      </c>
      <c r="C31" s="23" t="s">
        <v>59</v>
      </c>
      <c r="D31" s="21">
        <v>17</v>
      </c>
      <c r="E31" s="90">
        <v>2</v>
      </c>
      <c r="F31" s="90">
        <v>2</v>
      </c>
      <c r="G31" s="90">
        <v>2</v>
      </c>
      <c r="H31" s="90"/>
      <c r="I31" s="268"/>
      <c r="J31" s="268"/>
      <c r="K31" s="90">
        <v>2</v>
      </c>
      <c r="L31" s="90">
        <v>2</v>
      </c>
      <c r="M31" s="90">
        <v>2</v>
      </c>
      <c r="N31" s="90">
        <v>2</v>
      </c>
      <c r="O31" s="90"/>
      <c r="P31" s="268"/>
      <c r="Q31" s="268"/>
      <c r="R31" s="268"/>
      <c r="S31" s="268"/>
      <c r="T31" s="90"/>
      <c r="U31" s="90"/>
      <c r="V31" s="90"/>
      <c r="W31" s="268"/>
      <c r="X31" s="268"/>
      <c r="Y31" s="90">
        <v>2</v>
      </c>
      <c r="Z31" s="90">
        <v>2</v>
      </c>
      <c r="AA31" s="90">
        <v>2</v>
      </c>
      <c r="AB31" s="90">
        <v>2</v>
      </c>
      <c r="AC31" s="90"/>
      <c r="AD31" s="268"/>
      <c r="AE31" s="268"/>
      <c r="AF31" s="90">
        <v>2</v>
      </c>
      <c r="AG31" s="90">
        <v>2</v>
      </c>
      <c r="AH31" s="90">
        <v>2</v>
      </c>
      <c r="AI31" s="90">
        <v>2</v>
      </c>
      <c r="AJ31" s="57">
        <f t="shared" si="0"/>
        <v>30</v>
      </c>
      <c r="AK31" s="91">
        <f t="shared" ref="AK31:AK44" si="3">AJ31/2</f>
        <v>15</v>
      </c>
      <c r="AL31" s="13">
        <v>2300</v>
      </c>
      <c r="AM31" s="92">
        <f t="shared" si="2"/>
        <v>34500</v>
      </c>
      <c r="AN31" s="10"/>
    </row>
    <row r="32" spans="1:40" ht="15.6" thickTop="1" thickBot="1" x14ac:dyDescent="0.35">
      <c r="A32" s="47">
        <v>20</v>
      </c>
      <c r="B32" s="59" t="s">
        <v>110</v>
      </c>
      <c r="C32" s="24" t="s">
        <v>31</v>
      </c>
      <c r="D32" s="56">
        <v>17</v>
      </c>
      <c r="E32" s="93">
        <v>2</v>
      </c>
      <c r="F32" s="93">
        <v>2</v>
      </c>
      <c r="G32" s="93">
        <v>2</v>
      </c>
      <c r="H32" s="93"/>
      <c r="I32" s="269"/>
      <c r="J32" s="269"/>
      <c r="K32" s="93">
        <v>2</v>
      </c>
      <c r="L32" s="93">
        <v>2</v>
      </c>
      <c r="M32" s="93">
        <v>2</v>
      </c>
      <c r="N32" s="93">
        <v>2</v>
      </c>
      <c r="O32" s="93"/>
      <c r="P32" s="269"/>
      <c r="Q32" s="269"/>
      <c r="R32" s="269"/>
      <c r="S32" s="269"/>
      <c r="T32" s="93"/>
      <c r="U32" s="93"/>
      <c r="V32" s="93"/>
      <c r="W32" s="269"/>
      <c r="X32" s="269"/>
      <c r="Y32" s="93">
        <v>2</v>
      </c>
      <c r="Z32" s="93">
        <v>2</v>
      </c>
      <c r="AA32" s="93">
        <v>2</v>
      </c>
      <c r="AB32" s="93">
        <v>2</v>
      </c>
      <c r="AC32" s="93"/>
      <c r="AD32" s="269"/>
      <c r="AE32" s="269"/>
      <c r="AF32" s="93">
        <v>2</v>
      </c>
      <c r="AG32" s="93">
        <v>2</v>
      </c>
      <c r="AH32" s="93">
        <v>2</v>
      </c>
      <c r="AI32" s="93">
        <v>2</v>
      </c>
      <c r="AJ32" s="166">
        <f t="shared" si="0"/>
        <v>30</v>
      </c>
      <c r="AK32" s="88">
        <f t="shared" si="3"/>
        <v>15</v>
      </c>
      <c r="AL32" s="14">
        <v>2300</v>
      </c>
      <c r="AM32" s="89">
        <f t="shared" si="2"/>
        <v>34500</v>
      </c>
      <c r="AN32" s="10"/>
    </row>
    <row r="33" spans="1:40" ht="14.4" customHeight="1" thickTop="1" thickBot="1" x14ac:dyDescent="0.35">
      <c r="A33" s="45"/>
      <c r="B33" s="60" t="s">
        <v>30</v>
      </c>
      <c r="C33" s="18" t="s">
        <v>23</v>
      </c>
      <c r="D33" s="53">
        <v>17</v>
      </c>
      <c r="E33" s="114"/>
      <c r="F33" s="114"/>
      <c r="G33" s="114"/>
      <c r="H33" s="114"/>
      <c r="I33" s="265"/>
      <c r="J33" s="265"/>
      <c r="K33" s="114"/>
      <c r="L33" s="114"/>
      <c r="M33" s="114"/>
      <c r="N33" s="114"/>
      <c r="O33" s="114"/>
      <c r="P33" s="265"/>
      <c r="Q33" s="265"/>
      <c r="R33" s="265"/>
      <c r="S33" s="265"/>
      <c r="T33" s="114"/>
      <c r="U33" s="114"/>
      <c r="V33" s="114"/>
      <c r="W33" s="265"/>
      <c r="X33" s="265"/>
      <c r="Y33" s="114"/>
      <c r="Z33" s="114"/>
      <c r="AA33" s="114"/>
      <c r="AB33" s="114"/>
      <c r="AC33" s="114"/>
      <c r="AD33" s="265"/>
      <c r="AE33" s="265"/>
      <c r="AF33" s="114"/>
      <c r="AG33" s="114"/>
      <c r="AH33" s="114"/>
      <c r="AI33" s="114"/>
      <c r="AJ33" s="162">
        <f t="shared" si="0"/>
        <v>0</v>
      </c>
      <c r="AK33" s="76">
        <f>AJ33</f>
        <v>0</v>
      </c>
      <c r="AL33" s="12">
        <v>1533.33</v>
      </c>
      <c r="AM33" s="77">
        <f>AK33*AL33</f>
        <v>0</v>
      </c>
      <c r="AN33" s="10"/>
    </row>
    <row r="34" spans="1:40" ht="3.6" customHeight="1" thickTop="1" thickBot="1" x14ac:dyDescent="0.35">
      <c r="A34" s="195">
        <v>21</v>
      </c>
      <c r="B34" s="203" t="s">
        <v>113</v>
      </c>
      <c r="C34" s="198" t="s">
        <v>112</v>
      </c>
      <c r="D34" s="196">
        <v>0</v>
      </c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9">
        <f t="shared" si="0"/>
        <v>0</v>
      </c>
      <c r="AK34" s="200">
        <f t="shared" si="3"/>
        <v>0</v>
      </c>
      <c r="AL34" s="201">
        <v>3800</v>
      </c>
      <c r="AM34" s="202">
        <f t="shared" si="2"/>
        <v>0</v>
      </c>
      <c r="AN34" s="10"/>
    </row>
    <row r="35" spans="1:40" ht="15.6" thickTop="1" thickBot="1" x14ac:dyDescent="0.35">
      <c r="A35" s="34"/>
      <c r="B35" s="28" t="s">
        <v>98</v>
      </c>
      <c r="C35" s="18"/>
      <c r="D35" s="35">
        <v>17</v>
      </c>
      <c r="E35" s="114"/>
      <c r="F35" s="114"/>
      <c r="G35" s="114"/>
      <c r="H35" s="114"/>
      <c r="I35" s="265"/>
      <c r="J35" s="265"/>
      <c r="K35" s="114"/>
      <c r="L35" s="114"/>
      <c r="M35" s="114"/>
      <c r="N35" s="114"/>
      <c r="O35" s="114"/>
      <c r="P35" s="265"/>
      <c r="Q35" s="265"/>
      <c r="R35" s="265"/>
      <c r="S35" s="265"/>
      <c r="T35" s="114"/>
      <c r="U35" s="114"/>
      <c r="V35" s="114"/>
      <c r="W35" s="265"/>
      <c r="X35" s="265"/>
      <c r="Y35" s="114"/>
      <c r="Z35" s="114"/>
      <c r="AA35" s="114"/>
      <c r="AB35" s="114"/>
      <c r="AC35" s="114"/>
      <c r="AD35" s="265"/>
      <c r="AE35" s="265"/>
      <c r="AF35" s="114"/>
      <c r="AG35" s="114"/>
      <c r="AH35" s="114"/>
      <c r="AI35" s="114"/>
      <c r="AJ35" s="162">
        <f t="shared" si="0"/>
        <v>0</v>
      </c>
      <c r="AK35" s="76">
        <f>AJ35</f>
        <v>0</v>
      </c>
      <c r="AL35" s="12">
        <v>0</v>
      </c>
      <c r="AM35" s="85">
        <f>AK35*AL35</f>
        <v>0</v>
      </c>
      <c r="AN35" s="10"/>
    </row>
    <row r="36" spans="1:40" ht="15.6" thickTop="1" thickBot="1" x14ac:dyDescent="0.35">
      <c r="A36" s="51">
        <v>21</v>
      </c>
      <c r="B36" s="52" t="s">
        <v>45</v>
      </c>
      <c r="C36" s="30" t="s">
        <v>76</v>
      </c>
      <c r="D36" s="44">
        <v>17</v>
      </c>
      <c r="E36" s="73">
        <v>2</v>
      </c>
      <c r="F36" s="73">
        <v>2</v>
      </c>
      <c r="G36" s="73">
        <v>2</v>
      </c>
      <c r="H36" s="73">
        <v>2</v>
      </c>
      <c r="I36" s="264"/>
      <c r="J36" s="264"/>
      <c r="K36" s="73">
        <v>2</v>
      </c>
      <c r="L36" s="73">
        <v>2</v>
      </c>
      <c r="M36" s="73">
        <v>2</v>
      </c>
      <c r="N36" s="73">
        <v>2</v>
      </c>
      <c r="O36" s="73"/>
      <c r="P36" s="264"/>
      <c r="Q36" s="264"/>
      <c r="R36" s="264"/>
      <c r="S36" s="264"/>
      <c r="T36" s="73"/>
      <c r="U36" s="73"/>
      <c r="V36" s="73"/>
      <c r="W36" s="264"/>
      <c r="X36" s="264"/>
      <c r="Y36" s="73">
        <v>2</v>
      </c>
      <c r="Z36" s="288">
        <v>1</v>
      </c>
      <c r="AA36" s="73">
        <v>2</v>
      </c>
      <c r="AB36" s="73">
        <v>2</v>
      </c>
      <c r="AC36" s="73"/>
      <c r="AD36" s="264"/>
      <c r="AE36" s="264"/>
      <c r="AF36" s="73">
        <v>2</v>
      </c>
      <c r="AG36" s="73">
        <v>2</v>
      </c>
      <c r="AH36" s="73">
        <v>2</v>
      </c>
      <c r="AI36" s="73">
        <v>2</v>
      </c>
      <c r="AJ36" s="51">
        <f t="shared" si="0"/>
        <v>31</v>
      </c>
      <c r="AK36" s="74">
        <f t="shared" si="3"/>
        <v>15.5</v>
      </c>
      <c r="AL36" s="16">
        <v>3650</v>
      </c>
      <c r="AM36" s="75">
        <f t="shared" si="2"/>
        <v>56575</v>
      </c>
      <c r="AN36" s="10"/>
    </row>
    <row r="37" spans="1:40" ht="15.6" thickTop="1" thickBot="1" x14ac:dyDescent="0.35">
      <c r="A37" s="34"/>
      <c r="B37" s="238" t="s">
        <v>55</v>
      </c>
      <c r="C37" s="239"/>
      <c r="D37" s="35">
        <v>17</v>
      </c>
      <c r="E37" s="114"/>
      <c r="F37" s="114"/>
      <c r="G37" s="114"/>
      <c r="H37" s="114"/>
      <c r="I37" s="265"/>
      <c r="J37" s="265"/>
      <c r="K37" s="114"/>
      <c r="L37" s="114"/>
      <c r="M37" s="114"/>
      <c r="N37" s="114"/>
      <c r="O37" s="114"/>
      <c r="P37" s="265"/>
      <c r="Q37" s="265"/>
      <c r="R37" s="265"/>
      <c r="S37" s="265"/>
      <c r="T37" s="114"/>
      <c r="U37" s="114"/>
      <c r="V37" s="114"/>
      <c r="W37" s="265"/>
      <c r="X37" s="265"/>
      <c r="Y37" s="114"/>
      <c r="Z37" s="114"/>
      <c r="AA37" s="114"/>
      <c r="AB37" s="114"/>
      <c r="AC37" s="114"/>
      <c r="AD37" s="265"/>
      <c r="AE37" s="265"/>
      <c r="AF37" s="114"/>
      <c r="AG37" s="114"/>
      <c r="AH37" s="114"/>
      <c r="AI37" s="114"/>
      <c r="AJ37" s="162">
        <f t="shared" si="0"/>
        <v>0</v>
      </c>
      <c r="AK37" s="76">
        <f>AJ37</f>
        <v>0</v>
      </c>
      <c r="AL37" s="12">
        <v>2433.33</v>
      </c>
      <c r="AM37" s="77">
        <f t="shared" si="2"/>
        <v>0</v>
      </c>
      <c r="AN37" s="10"/>
    </row>
    <row r="38" spans="1:40" ht="2.4" customHeight="1" thickTop="1" thickBot="1" x14ac:dyDescent="0.35">
      <c r="A38" s="186">
        <v>0</v>
      </c>
      <c r="B38" s="204" t="s">
        <v>86</v>
      </c>
      <c r="C38" s="187" t="s">
        <v>112</v>
      </c>
      <c r="D38" s="188">
        <v>0</v>
      </c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254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6">
        <f t="shared" si="0"/>
        <v>0</v>
      </c>
      <c r="AK38" s="190">
        <f t="shared" si="3"/>
        <v>0</v>
      </c>
      <c r="AL38" s="191">
        <v>2300</v>
      </c>
      <c r="AM38" s="192">
        <f t="shared" si="2"/>
        <v>0</v>
      </c>
      <c r="AN38" s="10"/>
    </row>
    <row r="39" spans="1:40" ht="15.6" thickTop="1" thickBot="1" x14ac:dyDescent="0.35">
      <c r="A39" s="47">
        <v>22</v>
      </c>
      <c r="B39" s="48" t="s">
        <v>87</v>
      </c>
      <c r="C39" s="24" t="s">
        <v>40</v>
      </c>
      <c r="D39" s="33">
        <v>17</v>
      </c>
      <c r="E39" s="73">
        <v>2</v>
      </c>
      <c r="F39" s="73">
        <v>2</v>
      </c>
      <c r="G39" s="73">
        <v>2</v>
      </c>
      <c r="H39" s="73"/>
      <c r="I39" s="264"/>
      <c r="J39" s="264"/>
      <c r="K39" s="73">
        <v>2</v>
      </c>
      <c r="L39" s="73">
        <v>2</v>
      </c>
      <c r="M39" s="73">
        <v>2</v>
      </c>
      <c r="N39" s="73">
        <v>2</v>
      </c>
      <c r="O39" s="73"/>
      <c r="P39" s="264"/>
      <c r="Q39" s="264"/>
      <c r="R39" s="264"/>
      <c r="S39" s="264"/>
      <c r="T39" s="73"/>
      <c r="U39" s="73"/>
      <c r="V39" s="73"/>
      <c r="W39" s="264"/>
      <c r="X39" s="264"/>
      <c r="Y39" s="73">
        <v>2</v>
      </c>
      <c r="Z39" s="73">
        <v>2</v>
      </c>
      <c r="AA39" s="73">
        <v>2</v>
      </c>
      <c r="AB39" s="73">
        <v>2</v>
      </c>
      <c r="AC39" s="73"/>
      <c r="AD39" s="264"/>
      <c r="AE39" s="264"/>
      <c r="AF39" s="73">
        <v>2</v>
      </c>
      <c r="AG39" s="73">
        <v>2</v>
      </c>
      <c r="AH39" s="73">
        <v>2</v>
      </c>
      <c r="AI39" s="73">
        <v>2</v>
      </c>
      <c r="AJ39" s="166">
        <f t="shared" si="0"/>
        <v>30</v>
      </c>
      <c r="AK39" s="82">
        <f t="shared" si="3"/>
        <v>15</v>
      </c>
      <c r="AL39" s="16">
        <v>2300</v>
      </c>
      <c r="AM39" s="75">
        <f t="shared" si="2"/>
        <v>34500</v>
      </c>
      <c r="AN39" s="10"/>
    </row>
    <row r="40" spans="1:40" ht="15.6" thickTop="1" thickBot="1" x14ac:dyDescent="0.35">
      <c r="A40" s="45"/>
      <c r="B40" s="60" t="s">
        <v>16</v>
      </c>
      <c r="C40" s="17">
        <v>0.85416666666666663</v>
      </c>
      <c r="D40" s="53">
        <v>27</v>
      </c>
      <c r="E40" s="114"/>
      <c r="F40" s="114"/>
      <c r="G40" s="114"/>
      <c r="H40" s="114"/>
      <c r="I40" s="265"/>
      <c r="J40" s="265"/>
      <c r="K40" s="114"/>
      <c r="L40" s="114"/>
      <c r="M40" s="114"/>
      <c r="N40" s="114"/>
      <c r="O40" s="114"/>
      <c r="P40" s="265"/>
      <c r="Q40" s="265"/>
      <c r="R40" s="265"/>
      <c r="S40" s="265"/>
      <c r="T40" s="114"/>
      <c r="U40" s="114"/>
      <c r="V40" s="114"/>
      <c r="W40" s="265"/>
      <c r="X40" s="265"/>
      <c r="Y40" s="114"/>
      <c r="Z40" s="114"/>
      <c r="AA40" s="114"/>
      <c r="AB40" s="114"/>
      <c r="AC40" s="114"/>
      <c r="AD40" s="265"/>
      <c r="AE40" s="265"/>
      <c r="AF40" s="114"/>
      <c r="AG40" s="114"/>
      <c r="AH40" s="114"/>
      <c r="AI40" s="114"/>
      <c r="AJ40" s="162">
        <f t="shared" si="0"/>
        <v>0</v>
      </c>
      <c r="AK40" s="76">
        <f>AJ40</f>
        <v>0</v>
      </c>
      <c r="AL40" s="12">
        <v>1533.33</v>
      </c>
      <c r="AM40" s="77">
        <f t="shared" si="2"/>
        <v>0</v>
      </c>
      <c r="AN40" s="10"/>
    </row>
    <row r="41" spans="1:40" ht="15.6" thickTop="1" thickBot="1" x14ac:dyDescent="0.35">
      <c r="A41" s="54">
        <v>23</v>
      </c>
      <c r="B41" s="55" t="s">
        <v>88</v>
      </c>
      <c r="C41" s="25" t="s">
        <v>27</v>
      </c>
      <c r="D41" s="37">
        <v>17</v>
      </c>
      <c r="E41" s="78">
        <v>2</v>
      </c>
      <c r="F41" s="78">
        <v>2</v>
      </c>
      <c r="G41" s="78">
        <v>2</v>
      </c>
      <c r="H41" s="78"/>
      <c r="I41" s="263"/>
      <c r="J41" s="263"/>
      <c r="K41" s="78">
        <v>2</v>
      </c>
      <c r="L41" s="78">
        <v>2</v>
      </c>
      <c r="M41" s="78">
        <v>2</v>
      </c>
      <c r="N41" s="78">
        <v>2</v>
      </c>
      <c r="O41" s="78"/>
      <c r="P41" s="263"/>
      <c r="Q41" s="263"/>
      <c r="R41" s="263"/>
      <c r="S41" s="263"/>
      <c r="T41" s="78"/>
      <c r="U41" s="78"/>
      <c r="V41" s="78"/>
      <c r="W41" s="263"/>
      <c r="X41" s="263"/>
      <c r="Y41" s="78">
        <v>2</v>
      </c>
      <c r="Z41" s="78">
        <v>2</v>
      </c>
      <c r="AA41" s="78">
        <v>2</v>
      </c>
      <c r="AB41" s="78">
        <v>2</v>
      </c>
      <c r="AC41" s="78"/>
      <c r="AD41" s="263"/>
      <c r="AE41" s="263"/>
      <c r="AF41" s="78">
        <v>2</v>
      </c>
      <c r="AG41" s="78">
        <v>2</v>
      </c>
      <c r="AH41" s="78">
        <v>2</v>
      </c>
      <c r="AI41" s="78">
        <v>2</v>
      </c>
      <c r="AJ41" s="54">
        <f t="shared" si="0"/>
        <v>30</v>
      </c>
      <c r="AK41" s="87">
        <f t="shared" si="3"/>
        <v>15</v>
      </c>
      <c r="AL41" s="11">
        <v>2300</v>
      </c>
      <c r="AM41" s="80">
        <f t="shared" si="2"/>
        <v>34500</v>
      </c>
      <c r="AN41" s="10"/>
    </row>
    <row r="42" spans="1:40" ht="3.6" customHeight="1" thickTop="1" thickBot="1" x14ac:dyDescent="0.35">
      <c r="A42" s="249">
        <v>24</v>
      </c>
      <c r="B42" s="250" t="s">
        <v>103</v>
      </c>
      <c r="C42" s="251" t="s">
        <v>74</v>
      </c>
      <c r="D42" s="252">
        <v>17</v>
      </c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253">
        <f t="shared" si="0"/>
        <v>0</v>
      </c>
      <c r="AK42" s="190">
        <f t="shared" si="3"/>
        <v>0</v>
      </c>
      <c r="AL42" s="191">
        <v>3500</v>
      </c>
      <c r="AM42" s="192">
        <f t="shared" si="2"/>
        <v>0</v>
      </c>
      <c r="AN42" s="10"/>
    </row>
    <row r="43" spans="1:40" ht="15.6" thickTop="1" thickBot="1" x14ac:dyDescent="0.35">
      <c r="A43" s="38">
        <v>24</v>
      </c>
      <c r="B43" s="39" t="s">
        <v>28</v>
      </c>
      <c r="C43" s="23" t="s">
        <v>67</v>
      </c>
      <c r="D43" s="40">
        <v>17</v>
      </c>
      <c r="E43" s="78">
        <v>2</v>
      </c>
      <c r="F43" s="78">
        <v>2</v>
      </c>
      <c r="G43" s="78">
        <v>2</v>
      </c>
      <c r="H43" s="78"/>
      <c r="I43" s="263"/>
      <c r="J43" s="263"/>
      <c r="K43" s="78">
        <v>2</v>
      </c>
      <c r="L43" s="78">
        <v>2</v>
      </c>
      <c r="M43" s="78">
        <v>2</v>
      </c>
      <c r="N43" s="78">
        <v>2</v>
      </c>
      <c r="O43" s="78"/>
      <c r="P43" s="263"/>
      <c r="Q43" s="263"/>
      <c r="R43" s="263"/>
      <c r="S43" s="263"/>
      <c r="T43" s="78"/>
      <c r="U43" s="78"/>
      <c r="V43" s="78"/>
      <c r="W43" s="263"/>
      <c r="X43" s="263"/>
      <c r="Y43" s="78">
        <v>2</v>
      </c>
      <c r="Z43" s="78">
        <v>2</v>
      </c>
      <c r="AA43" s="78">
        <v>2</v>
      </c>
      <c r="AB43" s="78">
        <v>2</v>
      </c>
      <c r="AC43" s="78"/>
      <c r="AD43" s="263"/>
      <c r="AE43" s="263"/>
      <c r="AF43" s="78">
        <v>2</v>
      </c>
      <c r="AG43" s="78">
        <v>2</v>
      </c>
      <c r="AH43" s="78">
        <v>2</v>
      </c>
      <c r="AI43" s="78">
        <v>2</v>
      </c>
      <c r="AJ43" s="57">
        <f t="shared" si="0"/>
        <v>30</v>
      </c>
      <c r="AK43" s="87">
        <f t="shared" si="3"/>
        <v>15</v>
      </c>
      <c r="AL43" s="11">
        <v>2300</v>
      </c>
      <c r="AM43" s="80">
        <f t="shared" si="2"/>
        <v>34500</v>
      </c>
      <c r="AN43" s="10"/>
    </row>
    <row r="44" spans="1:40" ht="15.6" thickTop="1" thickBot="1" x14ac:dyDescent="0.35">
      <c r="A44" s="47">
        <v>25</v>
      </c>
      <c r="B44" s="48" t="s">
        <v>29</v>
      </c>
      <c r="C44" s="24" t="s">
        <v>33</v>
      </c>
      <c r="D44" s="33">
        <v>17</v>
      </c>
      <c r="E44" s="73">
        <v>2</v>
      </c>
      <c r="F44" s="73">
        <v>2</v>
      </c>
      <c r="G44" s="73">
        <v>2</v>
      </c>
      <c r="H44" s="73"/>
      <c r="I44" s="264"/>
      <c r="J44" s="264"/>
      <c r="K44" s="73">
        <v>2</v>
      </c>
      <c r="L44" s="73">
        <v>2</v>
      </c>
      <c r="M44" s="73">
        <v>2</v>
      </c>
      <c r="N44" s="73">
        <v>2</v>
      </c>
      <c r="O44" s="73"/>
      <c r="P44" s="264"/>
      <c r="Q44" s="264"/>
      <c r="R44" s="264"/>
      <c r="S44" s="264"/>
      <c r="T44" s="73"/>
      <c r="U44" s="73"/>
      <c r="V44" s="73"/>
      <c r="W44" s="264"/>
      <c r="X44" s="264"/>
      <c r="Y44" s="73">
        <v>2</v>
      </c>
      <c r="Z44" s="73">
        <v>2</v>
      </c>
      <c r="AA44" s="73">
        <v>2</v>
      </c>
      <c r="AB44" s="73">
        <v>2</v>
      </c>
      <c r="AC44" s="73"/>
      <c r="AD44" s="264"/>
      <c r="AE44" s="264"/>
      <c r="AF44" s="73">
        <v>2</v>
      </c>
      <c r="AG44" s="73">
        <v>2</v>
      </c>
      <c r="AH44" s="73">
        <v>2</v>
      </c>
      <c r="AI44" s="73">
        <v>2</v>
      </c>
      <c r="AJ44" s="166">
        <f t="shared" si="0"/>
        <v>30</v>
      </c>
      <c r="AK44" s="82">
        <f t="shared" si="3"/>
        <v>15</v>
      </c>
      <c r="AL44" s="16">
        <v>3900</v>
      </c>
      <c r="AM44" s="75">
        <f t="shared" si="2"/>
        <v>58500</v>
      </c>
      <c r="AN44" s="10"/>
    </row>
    <row r="45" spans="1:40" ht="15.6" thickTop="1" thickBot="1" x14ac:dyDescent="0.35">
      <c r="A45" s="45"/>
      <c r="B45" s="28" t="s">
        <v>32</v>
      </c>
      <c r="C45" s="17">
        <v>0.85416666666666663</v>
      </c>
      <c r="D45" s="53">
        <v>17</v>
      </c>
      <c r="E45" s="114"/>
      <c r="F45" s="114"/>
      <c r="G45" s="114"/>
      <c r="H45" s="114"/>
      <c r="I45" s="265"/>
      <c r="J45" s="265"/>
      <c r="K45" s="114"/>
      <c r="L45" s="114"/>
      <c r="M45" s="114"/>
      <c r="N45" s="114"/>
      <c r="O45" s="114"/>
      <c r="P45" s="265"/>
      <c r="Q45" s="265"/>
      <c r="R45" s="265"/>
      <c r="S45" s="265"/>
      <c r="T45" s="114"/>
      <c r="U45" s="114"/>
      <c r="V45" s="114"/>
      <c r="W45" s="265"/>
      <c r="X45" s="265"/>
      <c r="Y45" s="114"/>
      <c r="Z45" s="114"/>
      <c r="AA45" s="114"/>
      <c r="AB45" s="114"/>
      <c r="AC45" s="114"/>
      <c r="AD45" s="265"/>
      <c r="AE45" s="265"/>
      <c r="AF45" s="114"/>
      <c r="AG45" s="114"/>
      <c r="AH45" s="114"/>
      <c r="AI45" s="114"/>
      <c r="AJ45" s="162">
        <f t="shared" si="0"/>
        <v>0</v>
      </c>
      <c r="AK45" s="76">
        <f>AJ45</f>
        <v>0</v>
      </c>
      <c r="AL45" s="12">
        <v>2600</v>
      </c>
      <c r="AM45" s="77">
        <f>AK45*AL45</f>
        <v>0</v>
      </c>
      <c r="AN45" s="10"/>
    </row>
    <row r="46" spans="1:40" ht="15.6" thickTop="1" thickBot="1" x14ac:dyDescent="0.35">
      <c r="A46" s="57">
        <v>26</v>
      </c>
      <c r="B46" s="59" t="s">
        <v>37</v>
      </c>
      <c r="C46" s="24" t="s">
        <v>68</v>
      </c>
      <c r="D46" s="56">
        <v>17</v>
      </c>
      <c r="E46" s="93">
        <v>2</v>
      </c>
      <c r="F46" s="93">
        <v>2</v>
      </c>
      <c r="G46" s="93">
        <v>2</v>
      </c>
      <c r="H46" s="93"/>
      <c r="I46" s="269"/>
      <c r="J46" s="269"/>
      <c r="K46" s="93">
        <v>2</v>
      </c>
      <c r="L46" s="93">
        <v>2</v>
      </c>
      <c r="M46" s="93">
        <v>2</v>
      </c>
      <c r="N46" s="93">
        <v>2</v>
      </c>
      <c r="O46" s="93"/>
      <c r="P46" s="269"/>
      <c r="Q46" s="269"/>
      <c r="R46" s="269"/>
      <c r="S46" s="269"/>
      <c r="T46" s="93"/>
      <c r="U46" s="93"/>
      <c r="V46" s="93"/>
      <c r="W46" s="269"/>
      <c r="X46" s="269"/>
      <c r="Y46" s="93">
        <v>2</v>
      </c>
      <c r="Z46" s="93">
        <v>2</v>
      </c>
      <c r="AA46" s="93">
        <v>2</v>
      </c>
      <c r="AB46" s="93">
        <v>2</v>
      </c>
      <c r="AC46" s="93"/>
      <c r="AD46" s="269"/>
      <c r="AE46" s="269"/>
      <c r="AF46" s="93">
        <v>2</v>
      </c>
      <c r="AG46" s="93">
        <v>2</v>
      </c>
      <c r="AH46" s="93">
        <v>2</v>
      </c>
      <c r="AI46" s="93">
        <v>2</v>
      </c>
      <c r="AJ46" s="166">
        <f t="shared" si="0"/>
        <v>30</v>
      </c>
      <c r="AK46" s="88">
        <f>AJ46/2</f>
        <v>15</v>
      </c>
      <c r="AL46" s="14">
        <v>2300</v>
      </c>
      <c r="AM46" s="89">
        <f>AK46*AL46</f>
        <v>34500</v>
      </c>
      <c r="AN46" s="10"/>
    </row>
    <row r="47" spans="1:40" ht="15.6" thickTop="1" thickBot="1" x14ac:dyDescent="0.35">
      <c r="A47" s="51">
        <v>27</v>
      </c>
      <c r="B47" s="59" t="s">
        <v>39</v>
      </c>
      <c r="C47" s="24" t="s">
        <v>65</v>
      </c>
      <c r="D47" s="56">
        <v>17</v>
      </c>
      <c r="E47" s="93">
        <v>2</v>
      </c>
      <c r="F47" s="93">
        <v>2</v>
      </c>
      <c r="G47" s="93">
        <v>2</v>
      </c>
      <c r="H47" s="93"/>
      <c r="I47" s="269"/>
      <c r="J47" s="269"/>
      <c r="K47" s="93">
        <v>1</v>
      </c>
      <c r="L47" s="93">
        <v>2</v>
      </c>
      <c r="M47" s="93">
        <v>2</v>
      </c>
      <c r="N47" s="93">
        <v>2</v>
      </c>
      <c r="O47" s="93"/>
      <c r="P47" s="269"/>
      <c r="Q47" s="269"/>
      <c r="R47" s="269"/>
      <c r="S47" s="269"/>
      <c r="T47" s="93"/>
      <c r="U47" s="93"/>
      <c r="V47" s="93"/>
      <c r="W47" s="269"/>
      <c r="X47" s="269"/>
      <c r="Y47" s="93">
        <v>2</v>
      </c>
      <c r="Z47" s="93">
        <v>2</v>
      </c>
      <c r="AA47" s="93">
        <v>2</v>
      </c>
      <c r="AB47" s="93">
        <v>2</v>
      </c>
      <c r="AC47" s="93"/>
      <c r="AD47" s="269"/>
      <c r="AE47" s="269"/>
      <c r="AF47" s="93">
        <v>2</v>
      </c>
      <c r="AG47" s="93">
        <v>2</v>
      </c>
      <c r="AH47" s="93">
        <v>2</v>
      </c>
      <c r="AI47" s="93">
        <v>2</v>
      </c>
      <c r="AJ47" s="166">
        <f t="shared" si="0"/>
        <v>29</v>
      </c>
      <c r="AK47" s="88">
        <f>AJ47/2</f>
        <v>14.5</v>
      </c>
      <c r="AL47" s="14">
        <v>2300</v>
      </c>
      <c r="AM47" s="89">
        <f>AK47*AL47</f>
        <v>33350</v>
      </c>
      <c r="AN47" s="10"/>
    </row>
    <row r="48" spans="1:40" ht="15.6" thickTop="1" thickBot="1" x14ac:dyDescent="0.35">
      <c r="A48" s="253">
        <v>28</v>
      </c>
      <c r="B48" s="59" t="s">
        <v>71</v>
      </c>
      <c r="C48" s="275" t="s">
        <v>58</v>
      </c>
      <c r="D48" s="56">
        <v>17</v>
      </c>
      <c r="E48" s="93">
        <v>2</v>
      </c>
      <c r="F48" s="93">
        <v>2</v>
      </c>
      <c r="G48" s="277">
        <v>1</v>
      </c>
      <c r="H48" s="277">
        <v>0</v>
      </c>
      <c r="I48" s="269"/>
      <c r="J48" s="269"/>
      <c r="K48" s="277">
        <v>0</v>
      </c>
      <c r="L48" s="277">
        <v>0</v>
      </c>
      <c r="M48" s="277">
        <v>0</v>
      </c>
      <c r="N48" s="277">
        <v>0</v>
      </c>
      <c r="O48" s="277"/>
      <c r="P48" s="278"/>
      <c r="Q48" s="278"/>
      <c r="R48" s="278"/>
      <c r="S48" s="278"/>
      <c r="T48" s="277"/>
      <c r="U48" s="277"/>
      <c r="V48" s="277"/>
      <c r="W48" s="278"/>
      <c r="X48" s="278"/>
      <c r="Y48" s="277">
        <v>0</v>
      </c>
      <c r="Z48" s="277">
        <v>0</v>
      </c>
      <c r="AA48" s="277">
        <v>0</v>
      </c>
      <c r="AB48" s="277">
        <v>0</v>
      </c>
      <c r="AC48" s="277"/>
      <c r="AD48" s="278"/>
      <c r="AE48" s="278"/>
      <c r="AF48" s="277">
        <v>0</v>
      </c>
      <c r="AG48" s="277">
        <v>0</v>
      </c>
      <c r="AH48" s="277">
        <v>0</v>
      </c>
      <c r="AI48" s="277">
        <v>0</v>
      </c>
      <c r="AJ48" s="166">
        <f t="shared" si="0"/>
        <v>5</v>
      </c>
      <c r="AK48" s="88">
        <f>AJ48/2</f>
        <v>2.5</v>
      </c>
      <c r="AL48" s="14">
        <v>2300</v>
      </c>
      <c r="AM48" s="89">
        <f>AK48*AL48</f>
        <v>5750</v>
      </c>
      <c r="AN48" s="10"/>
    </row>
    <row r="49" spans="1:40" ht="15.6" thickTop="1" thickBot="1" x14ac:dyDescent="0.35">
      <c r="A49" s="50">
        <v>29</v>
      </c>
      <c r="B49" s="61" t="s">
        <v>41</v>
      </c>
      <c r="C49" s="159" t="s">
        <v>77</v>
      </c>
      <c r="D49" s="62">
        <v>17</v>
      </c>
      <c r="E49" s="83">
        <v>2</v>
      </c>
      <c r="F49" s="83">
        <v>2</v>
      </c>
      <c r="G49" s="83">
        <v>2</v>
      </c>
      <c r="H49" s="83"/>
      <c r="I49" s="267"/>
      <c r="J49" s="267"/>
      <c r="K49" s="83">
        <v>2</v>
      </c>
      <c r="L49" s="83">
        <v>2</v>
      </c>
      <c r="M49" s="83">
        <v>2</v>
      </c>
      <c r="N49" s="83">
        <v>2</v>
      </c>
      <c r="O49" s="83">
        <v>2</v>
      </c>
      <c r="P49" s="267"/>
      <c r="Q49" s="267"/>
      <c r="R49" s="267"/>
      <c r="S49" s="267"/>
      <c r="T49" s="83">
        <v>2</v>
      </c>
      <c r="U49" s="83">
        <v>2</v>
      </c>
      <c r="V49" s="83">
        <v>2</v>
      </c>
      <c r="W49" s="267"/>
      <c r="X49" s="267"/>
      <c r="Y49" s="83">
        <v>2</v>
      </c>
      <c r="Z49" s="83">
        <v>2</v>
      </c>
      <c r="AA49" s="83">
        <v>2</v>
      </c>
      <c r="AB49" s="83">
        <v>2</v>
      </c>
      <c r="AC49" s="83"/>
      <c r="AD49" s="267"/>
      <c r="AE49" s="267"/>
      <c r="AF49" s="83">
        <v>2</v>
      </c>
      <c r="AG49" s="83">
        <v>2</v>
      </c>
      <c r="AH49" s="83">
        <v>2</v>
      </c>
      <c r="AI49" s="83">
        <v>2</v>
      </c>
      <c r="AJ49" s="50">
        <f t="shared" si="0"/>
        <v>38</v>
      </c>
      <c r="AK49" s="94">
        <f>AJ49/2</f>
        <v>19</v>
      </c>
      <c r="AL49" s="22">
        <v>3650</v>
      </c>
      <c r="AM49" s="95">
        <f t="shared" si="2"/>
        <v>69350</v>
      </c>
      <c r="AN49" s="10"/>
    </row>
    <row r="50" spans="1:40" ht="15.6" thickTop="1" thickBot="1" x14ac:dyDescent="0.35">
      <c r="A50" s="63"/>
      <c r="B50" s="64" t="s">
        <v>54</v>
      </c>
      <c r="C50" s="65" t="s">
        <v>23</v>
      </c>
      <c r="D50" s="35">
        <v>17</v>
      </c>
      <c r="E50" s="114"/>
      <c r="F50" s="114"/>
      <c r="G50" s="114"/>
      <c r="H50" s="114"/>
      <c r="I50" s="265"/>
      <c r="J50" s="265"/>
      <c r="K50" s="114"/>
      <c r="L50" s="114"/>
      <c r="M50" s="114"/>
      <c r="N50" s="114"/>
      <c r="O50" s="114"/>
      <c r="P50" s="265"/>
      <c r="Q50" s="265"/>
      <c r="R50" s="265"/>
      <c r="S50" s="265"/>
      <c r="T50" s="114"/>
      <c r="U50" s="114"/>
      <c r="V50" s="114"/>
      <c r="W50" s="265"/>
      <c r="X50" s="265"/>
      <c r="Y50" s="114"/>
      <c r="Z50" s="114"/>
      <c r="AA50" s="114"/>
      <c r="AB50" s="114"/>
      <c r="AC50" s="114"/>
      <c r="AD50" s="265"/>
      <c r="AE50" s="265"/>
      <c r="AF50" s="114"/>
      <c r="AG50" s="114"/>
      <c r="AH50" s="114"/>
      <c r="AI50" s="114"/>
      <c r="AJ50" s="162">
        <f>SUM(E50:AI50)</f>
        <v>0</v>
      </c>
      <c r="AK50" s="76">
        <f>AJ50</f>
        <v>0</v>
      </c>
      <c r="AL50" s="12">
        <v>2433.33</v>
      </c>
      <c r="AM50" s="77">
        <f t="shared" ref="AM50:AM59" si="4">AK50*AL50</f>
        <v>0</v>
      </c>
      <c r="AN50" s="10"/>
    </row>
    <row r="51" spans="1:40" ht="15.6" thickTop="1" thickBot="1" x14ac:dyDescent="0.35">
      <c r="A51" s="19">
        <v>30</v>
      </c>
      <c r="B51" s="143" t="s">
        <v>69</v>
      </c>
      <c r="C51" s="19" t="s">
        <v>17</v>
      </c>
      <c r="D51" s="66">
        <v>17</v>
      </c>
      <c r="E51" s="96">
        <v>2</v>
      </c>
      <c r="F51" s="96">
        <v>2</v>
      </c>
      <c r="G51" s="96">
        <v>2</v>
      </c>
      <c r="H51" s="96">
        <v>2</v>
      </c>
      <c r="I51" s="270"/>
      <c r="J51" s="270"/>
      <c r="K51" s="96">
        <v>2</v>
      </c>
      <c r="L51" s="96">
        <v>2</v>
      </c>
      <c r="M51" s="96">
        <v>2</v>
      </c>
      <c r="N51" s="96">
        <v>2</v>
      </c>
      <c r="O51" s="96"/>
      <c r="P51" s="270"/>
      <c r="Q51" s="270"/>
      <c r="R51" s="270"/>
      <c r="S51" s="270"/>
      <c r="T51" s="96"/>
      <c r="U51" s="96"/>
      <c r="V51" s="96"/>
      <c r="W51" s="270"/>
      <c r="X51" s="270"/>
      <c r="Y51" s="96">
        <v>2</v>
      </c>
      <c r="Z51" s="96">
        <v>2</v>
      </c>
      <c r="AA51" s="96">
        <v>2</v>
      </c>
      <c r="AB51" s="96">
        <v>2</v>
      </c>
      <c r="AC51" s="96"/>
      <c r="AD51" s="270"/>
      <c r="AE51" s="270"/>
      <c r="AF51" s="96">
        <v>2</v>
      </c>
      <c r="AG51" s="96">
        <v>2</v>
      </c>
      <c r="AH51" s="96">
        <v>2</v>
      </c>
      <c r="AI51" s="96">
        <v>2</v>
      </c>
      <c r="AJ51" s="167">
        <f>SUM(E51:AI51)</f>
        <v>32</v>
      </c>
      <c r="AK51" s="97">
        <f>AJ51/2</f>
        <v>16</v>
      </c>
      <c r="AL51" s="20">
        <v>3650</v>
      </c>
      <c r="AM51" s="84">
        <f t="shared" si="4"/>
        <v>58400</v>
      </c>
      <c r="AN51" s="10"/>
    </row>
    <row r="52" spans="1:40" ht="15.6" thickTop="1" thickBot="1" x14ac:dyDescent="0.35">
      <c r="A52" s="35"/>
      <c r="B52" s="28" t="s">
        <v>66</v>
      </c>
      <c r="C52" s="35" t="s">
        <v>23</v>
      </c>
      <c r="D52" s="35">
        <v>17</v>
      </c>
      <c r="E52" s="114"/>
      <c r="F52" s="114"/>
      <c r="G52" s="114"/>
      <c r="H52" s="114"/>
      <c r="I52" s="265"/>
      <c r="J52" s="265"/>
      <c r="K52" s="114"/>
      <c r="L52" s="114"/>
      <c r="M52" s="114"/>
      <c r="N52" s="114"/>
      <c r="O52" s="114"/>
      <c r="P52" s="265"/>
      <c r="Q52" s="265"/>
      <c r="R52" s="265"/>
      <c r="S52" s="265"/>
      <c r="T52" s="114"/>
      <c r="U52" s="114"/>
      <c r="V52" s="114"/>
      <c r="W52" s="265"/>
      <c r="X52" s="265"/>
      <c r="Y52" s="114"/>
      <c r="Z52" s="114"/>
      <c r="AA52" s="114"/>
      <c r="AB52" s="114"/>
      <c r="AC52" s="114"/>
      <c r="AD52" s="265"/>
      <c r="AE52" s="265"/>
      <c r="AF52" s="114"/>
      <c r="AG52" s="114"/>
      <c r="AH52" s="114"/>
      <c r="AI52" s="114"/>
      <c r="AJ52" s="162">
        <f>SUM(E52:AI52)</f>
        <v>0</v>
      </c>
      <c r="AK52" s="76">
        <f>AJ52</f>
        <v>0</v>
      </c>
      <c r="AL52" s="12">
        <v>2433.33</v>
      </c>
      <c r="AM52" s="77">
        <f t="shared" si="4"/>
        <v>0</v>
      </c>
      <c r="AN52" s="10"/>
    </row>
    <row r="53" spans="1:40" ht="15.6" thickTop="1" thickBot="1" x14ac:dyDescent="0.35">
      <c r="A53" s="98">
        <v>31</v>
      </c>
      <c r="B53" s="240" t="s">
        <v>114</v>
      </c>
      <c r="C53" s="241" t="s">
        <v>61</v>
      </c>
      <c r="D53" s="242">
        <v>29</v>
      </c>
      <c r="E53" s="81">
        <v>2</v>
      </c>
      <c r="F53" s="81">
        <v>2</v>
      </c>
      <c r="G53" s="81">
        <v>2</v>
      </c>
      <c r="H53" s="81"/>
      <c r="I53" s="264"/>
      <c r="J53" s="264"/>
      <c r="K53" s="81">
        <v>2</v>
      </c>
      <c r="L53" s="81">
        <v>2</v>
      </c>
      <c r="M53" s="81">
        <v>2</v>
      </c>
      <c r="N53" s="81">
        <v>2</v>
      </c>
      <c r="O53" s="81"/>
      <c r="P53" s="264"/>
      <c r="Q53" s="264"/>
      <c r="R53" s="264"/>
      <c r="S53" s="264"/>
      <c r="T53" s="81"/>
      <c r="U53" s="81"/>
      <c r="V53" s="81"/>
      <c r="W53" s="264"/>
      <c r="X53" s="264"/>
      <c r="Y53" s="81">
        <v>2</v>
      </c>
      <c r="Z53" s="81">
        <v>2</v>
      </c>
      <c r="AA53" s="81">
        <v>2</v>
      </c>
      <c r="AB53" s="81">
        <v>2</v>
      </c>
      <c r="AC53" s="81"/>
      <c r="AD53" s="264"/>
      <c r="AE53" s="264"/>
      <c r="AF53" s="81">
        <v>2</v>
      </c>
      <c r="AG53" s="81">
        <v>2</v>
      </c>
      <c r="AH53" s="81">
        <v>2</v>
      </c>
      <c r="AI53" s="81">
        <v>2</v>
      </c>
      <c r="AJ53" s="168">
        <f t="shared" ref="AJ53" si="5">SUM(E53:AI53)</f>
        <v>30</v>
      </c>
      <c r="AK53" s="124">
        <f t="shared" ref="AK53" si="6">AJ53/2</f>
        <v>15</v>
      </c>
      <c r="AL53" s="125">
        <v>3750</v>
      </c>
      <c r="AM53" s="126">
        <f t="shared" si="4"/>
        <v>56250</v>
      </c>
      <c r="AN53" s="10"/>
    </row>
    <row r="54" spans="1:40" ht="15.6" thickTop="1" thickBot="1" x14ac:dyDescent="0.35">
      <c r="A54" s="57">
        <v>32</v>
      </c>
      <c r="B54" s="39" t="s">
        <v>46</v>
      </c>
      <c r="C54" s="23" t="s">
        <v>104</v>
      </c>
      <c r="D54" s="21">
        <v>17</v>
      </c>
      <c r="E54" s="90">
        <v>2</v>
      </c>
      <c r="F54" s="90">
        <v>2</v>
      </c>
      <c r="G54" s="90">
        <v>2</v>
      </c>
      <c r="H54" s="90">
        <v>2</v>
      </c>
      <c r="I54" s="268"/>
      <c r="J54" s="268"/>
      <c r="K54" s="90">
        <v>2</v>
      </c>
      <c r="L54" s="90">
        <v>2</v>
      </c>
      <c r="M54" s="90">
        <v>2</v>
      </c>
      <c r="N54" s="90">
        <v>2</v>
      </c>
      <c r="O54" s="90"/>
      <c r="P54" s="268"/>
      <c r="Q54" s="268"/>
      <c r="R54" s="268"/>
      <c r="S54" s="268"/>
      <c r="T54" s="90"/>
      <c r="U54" s="90"/>
      <c r="V54" s="90"/>
      <c r="W54" s="268"/>
      <c r="X54" s="268"/>
      <c r="Y54" s="90">
        <v>2</v>
      </c>
      <c r="Z54" s="90">
        <v>2</v>
      </c>
      <c r="AA54" s="90">
        <v>2</v>
      </c>
      <c r="AB54" s="90">
        <v>2</v>
      </c>
      <c r="AC54" s="90"/>
      <c r="AD54" s="268"/>
      <c r="AE54" s="268"/>
      <c r="AF54" s="90">
        <v>2</v>
      </c>
      <c r="AG54" s="90">
        <v>2</v>
      </c>
      <c r="AH54" s="90">
        <v>2</v>
      </c>
      <c r="AI54" s="90">
        <v>2</v>
      </c>
      <c r="AJ54" s="57">
        <f t="shared" ref="AJ54:AJ62" si="7">SUM(E54:AI54)</f>
        <v>32</v>
      </c>
      <c r="AK54" s="91">
        <f>AJ54/2</f>
        <v>16</v>
      </c>
      <c r="AL54" s="13">
        <v>3900</v>
      </c>
      <c r="AM54" s="92">
        <f t="shared" si="4"/>
        <v>62400</v>
      </c>
      <c r="AN54" s="10"/>
    </row>
    <row r="55" spans="1:40" ht="15.6" thickTop="1" thickBot="1" x14ac:dyDescent="0.35">
      <c r="A55" s="51">
        <v>33</v>
      </c>
      <c r="B55" s="29" t="s">
        <v>89</v>
      </c>
      <c r="C55" s="30" t="s">
        <v>97</v>
      </c>
      <c r="D55" s="44">
        <v>17</v>
      </c>
      <c r="E55" s="73">
        <v>2</v>
      </c>
      <c r="F55" s="73">
        <v>2</v>
      </c>
      <c r="G55" s="73">
        <v>2</v>
      </c>
      <c r="H55" s="73">
        <v>2</v>
      </c>
      <c r="I55" s="264"/>
      <c r="J55" s="264"/>
      <c r="K55" s="73">
        <v>2</v>
      </c>
      <c r="L55" s="73">
        <v>2</v>
      </c>
      <c r="M55" s="73">
        <v>2</v>
      </c>
      <c r="N55" s="73">
        <v>2</v>
      </c>
      <c r="O55" s="73"/>
      <c r="P55" s="264"/>
      <c r="Q55" s="264"/>
      <c r="R55" s="264"/>
      <c r="S55" s="264"/>
      <c r="T55" s="73"/>
      <c r="U55" s="73"/>
      <c r="V55" s="73"/>
      <c r="W55" s="264"/>
      <c r="X55" s="264"/>
      <c r="Y55" s="73">
        <v>2</v>
      </c>
      <c r="Z55" s="73">
        <v>2</v>
      </c>
      <c r="AA55" s="73">
        <v>2</v>
      </c>
      <c r="AB55" s="73">
        <v>2</v>
      </c>
      <c r="AC55" s="73"/>
      <c r="AD55" s="264"/>
      <c r="AE55" s="264"/>
      <c r="AF55" s="73">
        <v>2</v>
      </c>
      <c r="AG55" s="73">
        <v>2</v>
      </c>
      <c r="AH55" s="73">
        <v>2</v>
      </c>
      <c r="AI55" s="73">
        <v>2</v>
      </c>
      <c r="AJ55" s="51">
        <f t="shared" si="7"/>
        <v>32</v>
      </c>
      <c r="AK55" s="74">
        <f>AJ55/2</f>
        <v>16</v>
      </c>
      <c r="AL55" s="16">
        <v>2300</v>
      </c>
      <c r="AM55" s="75">
        <f t="shared" si="4"/>
        <v>36800</v>
      </c>
      <c r="AN55" s="10"/>
    </row>
    <row r="56" spans="1:40" ht="15.6" thickTop="1" thickBot="1" x14ac:dyDescent="0.35">
      <c r="A56" s="57">
        <v>34</v>
      </c>
      <c r="B56" s="58" t="s">
        <v>90</v>
      </c>
      <c r="C56" s="112" t="s">
        <v>36</v>
      </c>
      <c r="D56" s="21">
        <v>17</v>
      </c>
      <c r="E56" s="90">
        <v>2</v>
      </c>
      <c r="F56" s="90">
        <v>2</v>
      </c>
      <c r="G56" s="90">
        <v>2</v>
      </c>
      <c r="H56" s="90"/>
      <c r="I56" s="268"/>
      <c r="J56" s="268"/>
      <c r="K56" s="90">
        <v>2</v>
      </c>
      <c r="L56" s="90">
        <v>2</v>
      </c>
      <c r="M56" s="90">
        <v>2</v>
      </c>
      <c r="N56" s="90">
        <v>2</v>
      </c>
      <c r="O56" s="90"/>
      <c r="P56" s="268"/>
      <c r="Q56" s="268"/>
      <c r="R56" s="268"/>
      <c r="S56" s="268"/>
      <c r="T56" s="90"/>
      <c r="U56" s="90"/>
      <c r="V56" s="90"/>
      <c r="W56" s="268"/>
      <c r="X56" s="268"/>
      <c r="Y56" s="90">
        <v>2</v>
      </c>
      <c r="Z56" s="90">
        <v>2</v>
      </c>
      <c r="AA56" s="90">
        <v>2</v>
      </c>
      <c r="AB56" s="90">
        <v>2</v>
      </c>
      <c r="AC56" s="90"/>
      <c r="AD56" s="268"/>
      <c r="AE56" s="268"/>
      <c r="AF56" s="90">
        <v>2</v>
      </c>
      <c r="AG56" s="90">
        <v>2</v>
      </c>
      <c r="AH56" s="90">
        <v>2</v>
      </c>
      <c r="AI56" s="90">
        <v>2</v>
      </c>
      <c r="AJ56" s="57">
        <f t="shared" si="7"/>
        <v>30</v>
      </c>
      <c r="AK56" s="91">
        <f>AJ56/2</f>
        <v>15</v>
      </c>
      <c r="AL56" s="13">
        <v>3900</v>
      </c>
      <c r="AM56" s="92">
        <f t="shared" si="4"/>
        <v>58500</v>
      </c>
      <c r="AN56" s="10"/>
    </row>
    <row r="57" spans="1:40" ht="15.6" thickTop="1" thickBot="1" x14ac:dyDescent="0.35">
      <c r="A57" s="167">
        <v>35</v>
      </c>
      <c r="B57" s="49" t="s">
        <v>70</v>
      </c>
      <c r="C57" s="113" t="s">
        <v>93</v>
      </c>
      <c r="D57" s="62">
        <v>17</v>
      </c>
      <c r="E57" s="83">
        <v>2</v>
      </c>
      <c r="F57" s="83">
        <v>2</v>
      </c>
      <c r="G57" s="83">
        <v>2</v>
      </c>
      <c r="H57" s="83"/>
      <c r="I57" s="267"/>
      <c r="J57" s="267"/>
      <c r="K57" s="83">
        <v>2</v>
      </c>
      <c r="L57" s="83">
        <v>2</v>
      </c>
      <c r="M57" s="83">
        <v>2</v>
      </c>
      <c r="N57" s="83">
        <v>2</v>
      </c>
      <c r="O57" s="83"/>
      <c r="P57" s="267"/>
      <c r="Q57" s="267"/>
      <c r="R57" s="267"/>
      <c r="S57" s="267"/>
      <c r="T57" s="83"/>
      <c r="U57" s="83"/>
      <c r="V57" s="83"/>
      <c r="W57" s="267"/>
      <c r="X57" s="267"/>
      <c r="Y57" s="83">
        <v>2</v>
      </c>
      <c r="Z57" s="83">
        <v>2</v>
      </c>
      <c r="AA57" s="83">
        <v>2</v>
      </c>
      <c r="AB57" s="83">
        <v>2</v>
      </c>
      <c r="AC57" s="83"/>
      <c r="AD57" s="267"/>
      <c r="AE57" s="267"/>
      <c r="AF57" s="83">
        <v>2</v>
      </c>
      <c r="AG57" s="83">
        <v>2</v>
      </c>
      <c r="AH57" s="83">
        <v>2</v>
      </c>
      <c r="AI57" s="83">
        <v>2</v>
      </c>
      <c r="AJ57" s="50">
        <f t="shared" si="7"/>
        <v>30</v>
      </c>
      <c r="AK57" s="94">
        <f>AJ57/2</f>
        <v>15</v>
      </c>
      <c r="AL57" s="22">
        <v>2300</v>
      </c>
      <c r="AM57" s="95">
        <f t="shared" si="4"/>
        <v>34500</v>
      </c>
      <c r="AN57" s="10"/>
    </row>
    <row r="58" spans="1:40" ht="15.6" thickTop="1" thickBot="1" x14ac:dyDescent="0.35">
      <c r="A58" s="127">
        <v>1</v>
      </c>
      <c r="B58" s="208" t="s">
        <v>100</v>
      </c>
      <c r="C58" s="209" t="s">
        <v>94</v>
      </c>
      <c r="D58" s="128" t="s">
        <v>38</v>
      </c>
      <c r="E58" s="117">
        <v>2</v>
      </c>
      <c r="F58" s="117">
        <v>2</v>
      </c>
      <c r="G58" s="117">
        <v>2</v>
      </c>
      <c r="H58" s="117">
        <v>3</v>
      </c>
      <c r="I58" s="270"/>
      <c r="J58" s="270"/>
      <c r="K58" s="117">
        <v>2</v>
      </c>
      <c r="L58" s="117">
        <v>2</v>
      </c>
      <c r="M58" s="117">
        <v>2</v>
      </c>
      <c r="N58" s="117">
        <v>2</v>
      </c>
      <c r="O58" s="117">
        <v>3</v>
      </c>
      <c r="P58" s="270"/>
      <c r="Q58" s="270"/>
      <c r="R58" s="270"/>
      <c r="S58" s="270"/>
      <c r="T58" s="117"/>
      <c r="U58" s="117"/>
      <c r="V58" s="117"/>
      <c r="W58" s="270"/>
      <c r="X58" s="270"/>
      <c r="Y58" s="117">
        <v>2</v>
      </c>
      <c r="Z58" s="117">
        <v>2</v>
      </c>
      <c r="AA58" s="117">
        <v>2</v>
      </c>
      <c r="AB58" s="117">
        <v>2</v>
      </c>
      <c r="AC58" s="117">
        <v>3</v>
      </c>
      <c r="AD58" s="270"/>
      <c r="AE58" s="270"/>
      <c r="AF58" s="117">
        <v>2</v>
      </c>
      <c r="AG58" s="117">
        <v>2</v>
      </c>
      <c r="AH58" s="117">
        <v>2</v>
      </c>
      <c r="AI58" s="117">
        <v>2</v>
      </c>
      <c r="AJ58" s="169">
        <f t="shared" si="7"/>
        <v>39</v>
      </c>
      <c r="AK58" s="129">
        <f t="shared" ref="AK58:AK64" si="8">AJ58</f>
        <v>39</v>
      </c>
      <c r="AL58" s="130">
        <v>1150</v>
      </c>
      <c r="AM58" s="131">
        <f t="shared" si="4"/>
        <v>44850</v>
      </c>
      <c r="AN58" s="6"/>
    </row>
    <row r="59" spans="1:40" ht="15.6" thickTop="1" thickBot="1" x14ac:dyDescent="0.35">
      <c r="A59" s="115"/>
      <c r="B59" s="210" t="s">
        <v>102</v>
      </c>
      <c r="C59" s="211" t="s">
        <v>101</v>
      </c>
      <c r="D59" s="116" t="s">
        <v>38</v>
      </c>
      <c r="E59" s="134">
        <v>1</v>
      </c>
      <c r="F59" s="134">
        <v>1</v>
      </c>
      <c r="G59" s="134">
        <v>1</v>
      </c>
      <c r="H59" s="134">
        <v>1</v>
      </c>
      <c r="I59" s="267"/>
      <c r="J59" s="267"/>
      <c r="K59" s="134">
        <v>1</v>
      </c>
      <c r="L59" s="134">
        <v>1</v>
      </c>
      <c r="M59" s="134">
        <v>1</v>
      </c>
      <c r="N59" s="134">
        <v>1</v>
      </c>
      <c r="O59" s="134">
        <v>1</v>
      </c>
      <c r="P59" s="267"/>
      <c r="Q59" s="267"/>
      <c r="R59" s="267"/>
      <c r="S59" s="267"/>
      <c r="T59" s="134"/>
      <c r="U59" s="134"/>
      <c r="V59" s="134"/>
      <c r="W59" s="267"/>
      <c r="X59" s="267"/>
      <c r="Y59" s="134">
        <v>1</v>
      </c>
      <c r="Z59" s="134">
        <v>1</v>
      </c>
      <c r="AA59" s="134">
        <v>1</v>
      </c>
      <c r="AB59" s="134">
        <v>1</v>
      </c>
      <c r="AC59" s="134">
        <v>1</v>
      </c>
      <c r="AD59" s="267"/>
      <c r="AE59" s="267"/>
      <c r="AF59" s="134">
        <v>1</v>
      </c>
      <c r="AG59" s="134">
        <v>1</v>
      </c>
      <c r="AH59" s="182">
        <v>1</v>
      </c>
      <c r="AI59" s="182">
        <v>1</v>
      </c>
      <c r="AJ59" s="170">
        <f t="shared" si="7"/>
        <v>18</v>
      </c>
      <c r="AK59" s="118">
        <f t="shared" si="8"/>
        <v>18</v>
      </c>
      <c r="AL59" s="158">
        <v>1150</v>
      </c>
      <c r="AM59" s="119">
        <f t="shared" si="4"/>
        <v>20700</v>
      </c>
      <c r="AN59" s="6"/>
    </row>
    <row r="60" spans="1:40" ht="15.6" thickTop="1" thickBot="1" x14ac:dyDescent="0.35">
      <c r="A60" s="67">
        <v>2</v>
      </c>
      <c r="B60" s="212" t="s">
        <v>52</v>
      </c>
      <c r="C60" s="207" t="s">
        <v>95</v>
      </c>
      <c r="D60" s="111" t="s">
        <v>38</v>
      </c>
      <c r="E60" s="133">
        <v>1</v>
      </c>
      <c r="F60" s="133">
        <v>1</v>
      </c>
      <c r="G60" s="133">
        <v>1</v>
      </c>
      <c r="H60" s="133">
        <v>2</v>
      </c>
      <c r="I60" s="270"/>
      <c r="J60" s="270"/>
      <c r="K60" s="133">
        <v>2</v>
      </c>
      <c r="L60" s="133">
        <v>2</v>
      </c>
      <c r="M60" s="133">
        <v>2</v>
      </c>
      <c r="N60" s="133">
        <v>2</v>
      </c>
      <c r="O60" s="133">
        <v>2</v>
      </c>
      <c r="P60" s="270"/>
      <c r="Q60" s="270"/>
      <c r="R60" s="270"/>
      <c r="S60" s="270"/>
      <c r="T60" s="206"/>
      <c r="U60" s="133"/>
      <c r="V60" s="133"/>
      <c r="W60" s="270"/>
      <c r="X60" s="270"/>
      <c r="Y60" s="133">
        <v>2</v>
      </c>
      <c r="Z60" s="133">
        <v>2</v>
      </c>
      <c r="AA60" s="133">
        <v>2</v>
      </c>
      <c r="AB60" s="133">
        <v>2</v>
      </c>
      <c r="AC60" s="133">
        <v>2</v>
      </c>
      <c r="AD60" s="270"/>
      <c r="AE60" s="270"/>
      <c r="AF60" s="133">
        <v>1</v>
      </c>
      <c r="AG60" s="133">
        <v>1</v>
      </c>
      <c r="AH60" s="133">
        <v>1</v>
      </c>
      <c r="AI60" s="133">
        <v>1</v>
      </c>
      <c r="AJ60" s="98">
        <f t="shared" si="7"/>
        <v>29</v>
      </c>
      <c r="AK60" s="99">
        <f t="shared" si="8"/>
        <v>29</v>
      </c>
      <c r="AL60" s="27">
        <v>1150</v>
      </c>
      <c r="AM60" s="100">
        <f t="shared" si="2"/>
        <v>33350</v>
      </c>
      <c r="AN60" s="10"/>
    </row>
    <row r="61" spans="1:40" ht="15.6" thickTop="1" thickBot="1" x14ac:dyDescent="0.35">
      <c r="A61" s="120"/>
      <c r="B61" s="213" t="s">
        <v>96</v>
      </c>
      <c r="C61" s="214" t="s">
        <v>95</v>
      </c>
      <c r="D61" s="121" t="s">
        <v>38</v>
      </c>
      <c r="E61" s="142">
        <v>2</v>
      </c>
      <c r="F61" s="142">
        <v>2</v>
      </c>
      <c r="G61" s="142">
        <v>2</v>
      </c>
      <c r="H61" s="142">
        <v>2</v>
      </c>
      <c r="I61" s="267"/>
      <c r="J61" s="267"/>
      <c r="K61" s="142">
        <v>1</v>
      </c>
      <c r="L61" s="142">
        <v>1</v>
      </c>
      <c r="M61" s="142">
        <v>1</v>
      </c>
      <c r="N61" s="142">
        <v>1</v>
      </c>
      <c r="O61" s="142">
        <v>2</v>
      </c>
      <c r="P61" s="267"/>
      <c r="Q61" s="267"/>
      <c r="R61" s="267"/>
      <c r="S61" s="267"/>
      <c r="T61" s="142"/>
      <c r="U61" s="142"/>
      <c r="V61" s="142"/>
      <c r="W61" s="267"/>
      <c r="X61" s="267"/>
      <c r="Y61" s="142">
        <v>1</v>
      </c>
      <c r="Z61" s="142">
        <v>1</v>
      </c>
      <c r="AA61" s="142">
        <v>1</v>
      </c>
      <c r="AB61" s="142">
        <v>1</v>
      </c>
      <c r="AC61" s="142">
        <v>2</v>
      </c>
      <c r="AD61" s="267"/>
      <c r="AE61" s="267"/>
      <c r="AF61" s="142">
        <v>2</v>
      </c>
      <c r="AG61" s="142">
        <v>2</v>
      </c>
      <c r="AH61" s="142">
        <v>2</v>
      </c>
      <c r="AI61" s="142">
        <v>2</v>
      </c>
      <c r="AJ61" s="171">
        <f t="shared" si="7"/>
        <v>28</v>
      </c>
      <c r="AK61" s="122">
        <f t="shared" si="8"/>
        <v>28</v>
      </c>
      <c r="AL61" s="180">
        <v>1200</v>
      </c>
      <c r="AM61" s="123">
        <f>AK61*AL61</f>
        <v>33600</v>
      </c>
      <c r="AN61" s="10"/>
    </row>
    <row r="62" spans="1:40" ht="15.6" thickTop="1" thickBot="1" x14ac:dyDescent="0.35">
      <c r="A62" s="144">
        <v>3</v>
      </c>
      <c r="B62" s="215" t="s">
        <v>13</v>
      </c>
      <c r="C62" s="216" t="s">
        <v>7</v>
      </c>
      <c r="D62" s="145" t="s">
        <v>38</v>
      </c>
      <c r="E62" s="146">
        <v>3</v>
      </c>
      <c r="F62" s="146">
        <v>3</v>
      </c>
      <c r="G62" s="146">
        <v>3</v>
      </c>
      <c r="H62" s="146">
        <v>4</v>
      </c>
      <c r="I62" s="264"/>
      <c r="J62" s="264"/>
      <c r="K62" s="146">
        <v>3</v>
      </c>
      <c r="L62" s="146">
        <v>3</v>
      </c>
      <c r="M62" s="146">
        <v>3</v>
      </c>
      <c r="N62" s="146">
        <v>3</v>
      </c>
      <c r="O62" s="146">
        <v>4</v>
      </c>
      <c r="P62" s="264"/>
      <c r="Q62" s="264"/>
      <c r="R62" s="264"/>
      <c r="S62" s="264"/>
      <c r="T62" s="146"/>
      <c r="U62" s="146"/>
      <c r="V62" s="146"/>
      <c r="W62" s="264"/>
      <c r="X62" s="264"/>
      <c r="Y62" s="146">
        <v>3</v>
      </c>
      <c r="Z62" s="146">
        <v>3</v>
      </c>
      <c r="AA62" s="146">
        <v>3</v>
      </c>
      <c r="AB62" s="146">
        <v>3</v>
      </c>
      <c r="AC62" s="146">
        <v>4</v>
      </c>
      <c r="AD62" s="264"/>
      <c r="AE62" s="264"/>
      <c r="AF62" s="146">
        <v>3</v>
      </c>
      <c r="AG62" s="146">
        <v>3</v>
      </c>
      <c r="AH62" s="146">
        <v>3</v>
      </c>
      <c r="AI62" s="146">
        <v>3</v>
      </c>
      <c r="AJ62" s="172">
        <f t="shared" si="7"/>
        <v>57</v>
      </c>
      <c r="AK62" s="147">
        <f t="shared" si="8"/>
        <v>57</v>
      </c>
      <c r="AL62" s="148">
        <v>1700</v>
      </c>
      <c r="AM62" s="149">
        <f t="shared" si="2"/>
        <v>96900</v>
      </c>
      <c r="AN62" s="10"/>
    </row>
    <row r="63" spans="1:40" ht="15.6" thickTop="1" thickBot="1" x14ac:dyDescent="0.35">
      <c r="A63" s="294"/>
      <c r="B63" s="217" t="s">
        <v>73</v>
      </c>
      <c r="C63" s="218" t="s">
        <v>7</v>
      </c>
      <c r="D63" s="179" t="s">
        <v>105</v>
      </c>
      <c r="E63" s="134"/>
      <c r="F63" s="134"/>
      <c r="G63" s="134"/>
      <c r="H63" s="134"/>
      <c r="I63" s="267"/>
      <c r="J63" s="267"/>
      <c r="K63" s="134"/>
      <c r="L63" s="134"/>
      <c r="M63" s="134"/>
      <c r="N63" s="134"/>
      <c r="O63" s="182"/>
      <c r="P63" s="271"/>
      <c r="Q63" s="271"/>
      <c r="R63" s="271"/>
      <c r="S63" s="271"/>
      <c r="T63" s="182"/>
      <c r="U63" s="182"/>
      <c r="V63" s="182"/>
      <c r="W63" s="271"/>
      <c r="X63" s="267"/>
      <c r="Y63" s="134"/>
      <c r="Z63" s="134"/>
      <c r="AA63" s="134"/>
      <c r="AB63" s="134"/>
      <c r="AC63" s="134"/>
      <c r="AD63" s="267"/>
      <c r="AE63" s="267"/>
      <c r="AF63" s="134"/>
      <c r="AG63" s="134"/>
      <c r="AH63" s="134"/>
      <c r="AI63" s="134"/>
      <c r="AJ63" s="173">
        <f>SUM(E63:AI63)</f>
        <v>0</v>
      </c>
      <c r="AK63" s="150">
        <f t="shared" si="8"/>
        <v>0</v>
      </c>
      <c r="AL63" s="151">
        <v>1150</v>
      </c>
      <c r="AM63" s="152">
        <f>AK63*AL63</f>
        <v>0</v>
      </c>
      <c r="AN63" s="10"/>
    </row>
    <row r="64" spans="1:40" ht="15.6" thickTop="1" thickBot="1" x14ac:dyDescent="0.35">
      <c r="A64" s="51"/>
      <c r="B64" s="154"/>
      <c r="C64" s="155"/>
      <c r="D64" s="132"/>
      <c r="E64" s="73"/>
      <c r="F64" s="73"/>
      <c r="G64" s="73"/>
      <c r="H64" s="73"/>
      <c r="I64" s="264"/>
      <c r="J64" s="264"/>
      <c r="K64" s="73"/>
      <c r="L64" s="73"/>
      <c r="M64" s="73"/>
      <c r="N64" s="73"/>
      <c r="O64" s="73"/>
      <c r="P64" s="264"/>
      <c r="Q64" s="264"/>
      <c r="R64" s="264"/>
      <c r="S64" s="264"/>
      <c r="T64" s="73"/>
      <c r="U64" s="194"/>
      <c r="V64" s="194"/>
      <c r="W64" s="272"/>
      <c r="X64" s="264"/>
      <c r="Y64" s="73"/>
      <c r="Z64" s="73"/>
      <c r="AA64" s="73"/>
      <c r="AB64" s="73"/>
      <c r="AC64" s="73"/>
      <c r="AD64" s="264"/>
      <c r="AE64" s="264"/>
      <c r="AF64" s="73"/>
      <c r="AG64" s="73"/>
      <c r="AH64" s="73"/>
      <c r="AI64" s="73"/>
      <c r="AJ64" s="66">
        <f>SUM(D64:AI64)</f>
        <v>0</v>
      </c>
      <c r="AK64" s="74">
        <f t="shared" si="8"/>
        <v>0</v>
      </c>
      <c r="AL64" s="16"/>
      <c r="AM64" s="75">
        <f>AK64*AL64</f>
        <v>0</v>
      </c>
      <c r="AN64" s="10"/>
    </row>
    <row r="65" spans="1:40" ht="15.6" thickTop="1" thickBot="1" x14ac:dyDescent="0.35">
      <c r="A65" s="255"/>
      <c r="B65" s="143"/>
      <c r="C65" s="205"/>
      <c r="D65" s="256">
        <f>D3+D4+D6+D7+D8+D9+D12+D14+D15+D17+D19+D20+D22+D24+D26+D27+D29+D30+D31+D32+D34+D36+D39+D41+D42+D43+D44+D46+D47+D48+D49+D51+D53+D54+D55+D56+D57</f>
        <v>715</v>
      </c>
      <c r="E65" s="68">
        <f t="shared" ref="E65:AI65" si="9">SUM(E3:E64)</f>
        <v>79</v>
      </c>
      <c r="F65" s="68">
        <f t="shared" si="9"/>
        <v>79</v>
      </c>
      <c r="G65" s="257">
        <f t="shared" si="9"/>
        <v>78</v>
      </c>
      <c r="H65" s="68">
        <f t="shared" si="9"/>
        <v>32</v>
      </c>
      <c r="I65" s="265">
        <f t="shared" si="9"/>
        <v>0</v>
      </c>
      <c r="J65" s="265">
        <f t="shared" si="9"/>
        <v>0</v>
      </c>
      <c r="K65" s="68">
        <f t="shared" si="9"/>
        <v>76</v>
      </c>
      <c r="L65" s="257">
        <f t="shared" si="9"/>
        <v>77</v>
      </c>
      <c r="M65" s="68">
        <f t="shared" si="9"/>
        <v>77</v>
      </c>
      <c r="N65" s="68">
        <f t="shared" si="9"/>
        <v>77</v>
      </c>
      <c r="O65" s="68">
        <f t="shared" si="9"/>
        <v>24</v>
      </c>
      <c r="P65" s="265">
        <f t="shared" si="9"/>
        <v>0</v>
      </c>
      <c r="Q65" s="265">
        <f t="shared" si="9"/>
        <v>0</v>
      </c>
      <c r="R65" s="265">
        <f t="shared" si="9"/>
        <v>0</v>
      </c>
      <c r="S65" s="265">
        <f t="shared" si="9"/>
        <v>0</v>
      </c>
      <c r="T65" s="68">
        <f t="shared" si="9"/>
        <v>12</v>
      </c>
      <c r="U65" s="68">
        <f t="shared" si="9"/>
        <v>12</v>
      </c>
      <c r="V65" s="68">
        <f t="shared" si="9"/>
        <v>12</v>
      </c>
      <c r="W65" s="265">
        <f t="shared" si="9"/>
        <v>0</v>
      </c>
      <c r="X65" s="265">
        <f t="shared" si="9"/>
        <v>0</v>
      </c>
      <c r="Y65" s="68">
        <f t="shared" si="9"/>
        <v>77</v>
      </c>
      <c r="Z65" s="68">
        <f t="shared" si="9"/>
        <v>76</v>
      </c>
      <c r="AA65" s="68">
        <f t="shared" si="9"/>
        <v>77</v>
      </c>
      <c r="AB65" s="68">
        <f t="shared" si="9"/>
        <v>76</v>
      </c>
      <c r="AC65" s="68">
        <f t="shared" si="9"/>
        <v>20</v>
      </c>
      <c r="AD65" s="265">
        <f t="shared" si="9"/>
        <v>0</v>
      </c>
      <c r="AE65" s="265">
        <f t="shared" si="9"/>
        <v>0</v>
      </c>
      <c r="AF65" s="68">
        <f t="shared" si="9"/>
        <v>77</v>
      </c>
      <c r="AG65" s="205">
        <f t="shared" si="9"/>
        <v>77</v>
      </c>
      <c r="AH65" s="68">
        <f t="shared" si="9"/>
        <v>77</v>
      </c>
      <c r="AI65" s="205">
        <f t="shared" si="9"/>
        <v>77</v>
      </c>
      <c r="AJ65" s="258">
        <f>SUM(E65:AI65)</f>
        <v>1269</v>
      </c>
      <c r="AK65" s="259"/>
      <c r="AL65" s="260"/>
      <c r="AM65" s="261"/>
      <c r="AN65" s="10"/>
    </row>
    <row r="66" spans="1:40" ht="15.6" thickTop="1" thickBot="1" x14ac:dyDescent="0.35">
      <c r="A66" s="298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  <c r="AA66" s="299"/>
      <c r="AB66" s="299"/>
      <c r="AC66" s="299"/>
      <c r="AD66" s="299"/>
      <c r="AE66" s="299"/>
      <c r="AF66" s="299"/>
      <c r="AG66" s="299"/>
      <c r="AH66" s="299"/>
      <c r="AI66" s="299"/>
      <c r="AJ66" s="299"/>
      <c r="AK66" s="299"/>
      <c r="AL66" s="300"/>
      <c r="AM66" s="161">
        <f>SUM(AM3:AM65)</f>
        <v>1992600</v>
      </c>
      <c r="AN66" s="10"/>
    </row>
    <row r="67" spans="1:40" ht="15" thickTop="1" x14ac:dyDescent="0.3">
      <c r="A67" s="309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  <c r="AC67" s="310"/>
      <c r="AD67" s="310"/>
      <c r="AE67" s="310"/>
      <c r="AF67" s="310"/>
      <c r="AG67" s="310"/>
      <c r="AH67" s="310"/>
      <c r="AI67" s="310"/>
      <c r="AJ67" s="310"/>
      <c r="AK67" s="310"/>
      <c r="AL67" s="310"/>
      <c r="AM67" s="310"/>
      <c r="AN67" s="160"/>
    </row>
    <row r="68" spans="1:40" x14ac:dyDescent="0.3">
      <c r="A68" s="309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  <c r="AB68" s="310"/>
      <c r="AC68" s="310"/>
      <c r="AD68" s="310"/>
      <c r="AE68" s="310"/>
      <c r="AF68" s="310"/>
      <c r="AG68" s="310"/>
      <c r="AH68" s="310"/>
      <c r="AI68" s="310"/>
      <c r="AJ68" s="310"/>
      <c r="AK68" s="310"/>
      <c r="AL68" s="310"/>
      <c r="AM68" s="310"/>
      <c r="AN68" s="160"/>
    </row>
    <row r="69" spans="1:40" x14ac:dyDescent="0.3">
      <c r="A69" s="311"/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1"/>
      <c r="AC69" s="311"/>
      <c r="AD69" s="311"/>
      <c r="AE69" s="311"/>
      <c r="AF69" s="311"/>
      <c r="AG69" s="311"/>
      <c r="AH69" s="311"/>
      <c r="AI69" s="311"/>
      <c r="AJ69" s="311"/>
      <c r="AK69" s="311"/>
      <c r="AL69" s="311"/>
      <c r="AM69" s="311"/>
      <c r="AN69" s="160"/>
    </row>
    <row r="70" spans="1:40" x14ac:dyDescent="0.3">
      <c r="A70" s="312"/>
      <c r="B70" s="312"/>
      <c r="C70" s="312"/>
      <c r="D70" s="312"/>
      <c r="E70" s="312"/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  <c r="Z70" s="312"/>
      <c r="AA70" s="312"/>
      <c r="AB70" s="312"/>
      <c r="AC70" s="312"/>
      <c r="AD70" s="312"/>
      <c r="AE70" s="312"/>
      <c r="AF70" s="312"/>
      <c r="AG70" s="312"/>
      <c r="AH70" s="312"/>
      <c r="AI70" s="312"/>
      <c r="AJ70" s="312"/>
      <c r="AK70" s="312"/>
      <c r="AL70" s="312"/>
      <c r="AM70" s="312"/>
      <c r="AN70" s="160"/>
    </row>
    <row r="71" spans="1:40" x14ac:dyDescent="0.3">
      <c r="A71" s="312"/>
      <c r="B71" s="312"/>
      <c r="C71" s="312"/>
      <c r="D71" s="312"/>
      <c r="E71" s="312"/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160"/>
    </row>
    <row r="72" spans="1:40" x14ac:dyDescent="0.3">
      <c r="A72" s="312"/>
      <c r="B72" s="312"/>
      <c r="C72" s="312"/>
      <c r="D72" s="312"/>
      <c r="E72" s="312"/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  <c r="Z72" s="312"/>
      <c r="AA72" s="312"/>
      <c r="AB72" s="312"/>
      <c r="AC72" s="312"/>
      <c r="AD72" s="312"/>
      <c r="AE72" s="312"/>
      <c r="AF72" s="312"/>
      <c r="AG72" s="312"/>
      <c r="AH72" s="312"/>
      <c r="AI72" s="312"/>
      <c r="AJ72" s="312"/>
      <c r="AK72" s="312"/>
      <c r="AL72" s="312"/>
      <c r="AM72" s="312"/>
      <c r="AN72" s="160"/>
    </row>
    <row r="73" spans="1:40" x14ac:dyDescent="0.3">
      <c r="A73" s="312"/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  <c r="Z73" s="312"/>
      <c r="AA73" s="312"/>
      <c r="AB73" s="312"/>
      <c r="AC73" s="312"/>
      <c r="AD73" s="312"/>
      <c r="AE73" s="312"/>
      <c r="AF73" s="312"/>
      <c r="AG73" s="312"/>
      <c r="AH73" s="312"/>
      <c r="AI73" s="312"/>
      <c r="AJ73" s="312"/>
      <c r="AK73" s="312"/>
      <c r="AL73" s="312"/>
      <c r="AM73" s="312"/>
      <c r="AN73" s="160"/>
    </row>
    <row r="74" spans="1:40" x14ac:dyDescent="0.3">
      <c r="A74" s="312"/>
      <c r="B74" s="312"/>
      <c r="C74" s="312"/>
      <c r="D74" s="312"/>
      <c r="E74" s="312"/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  <c r="AH74" s="312"/>
      <c r="AI74" s="312"/>
      <c r="AJ74" s="312"/>
      <c r="AK74" s="312"/>
      <c r="AL74" s="312"/>
      <c r="AM74" s="312"/>
      <c r="AN74" s="160"/>
    </row>
    <row r="75" spans="1:40" x14ac:dyDescent="0.3">
      <c r="A75" s="312"/>
      <c r="B75" s="312"/>
      <c r="C75" s="312"/>
      <c r="D75" s="312"/>
      <c r="E75" s="312"/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  <c r="AH75" s="312"/>
      <c r="AI75" s="312"/>
      <c r="AJ75" s="312"/>
      <c r="AK75" s="312"/>
      <c r="AL75" s="312"/>
      <c r="AM75" s="312"/>
      <c r="AN75" s="160"/>
    </row>
    <row r="76" spans="1:40" x14ac:dyDescent="0.3">
      <c r="A76" s="312"/>
      <c r="B76" s="312"/>
      <c r="C76" s="312"/>
      <c r="D76" s="312"/>
      <c r="E76" s="312"/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12"/>
      <c r="AI76" s="312"/>
      <c r="AJ76" s="312"/>
      <c r="AK76" s="312"/>
      <c r="AL76" s="312"/>
      <c r="AM76" s="312"/>
      <c r="AN76" s="160"/>
    </row>
    <row r="77" spans="1:40" s="9" customFormat="1" ht="16.5" customHeight="1" x14ac:dyDescent="0.3">
      <c r="A77" s="312"/>
      <c r="B77" s="312"/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  <c r="AJ77" s="312"/>
      <c r="AK77" s="312"/>
      <c r="AL77" s="312"/>
      <c r="AM77" s="312"/>
      <c r="AN77" s="160"/>
    </row>
    <row r="78" spans="1:40" s="9" customFormat="1" ht="16.5" customHeight="1" x14ac:dyDescent="0.3">
      <c r="A78" s="312"/>
      <c r="B78" s="312"/>
      <c r="C78" s="312"/>
      <c r="D78" s="312"/>
      <c r="E78" s="312"/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  <c r="Z78" s="312"/>
      <c r="AA78" s="312"/>
      <c r="AB78" s="312"/>
      <c r="AC78" s="312"/>
      <c r="AD78" s="312"/>
      <c r="AE78" s="312"/>
      <c r="AF78" s="312"/>
      <c r="AG78" s="312"/>
      <c r="AH78" s="312"/>
      <c r="AI78" s="312"/>
      <c r="AJ78" s="312"/>
      <c r="AK78" s="312"/>
      <c r="AL78" s="312"/>
      <c r="AM78" s="312"/>
      <c r="AN78" s="160"/>
    </row>
    <row r="79" spans="1:40" ht="15" thickBot="1" x14ac:dyDescent="0.35">
      <c r="A79" s="312"/>
      <c r="B79" s="312"/>
      <c r="C79" s="312"/>
      <c r="D79" s="312"/>
      <c r="E79" s="312"/>
      <c r="F79" s="312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  <c r="AH79" s="312"/>
      <c r="AI79" s="312"/>
      <c r="AJ79" s="312"/>
      <c r="AK79" s="312"/>
      <c r="AL79" s="312"/>
      <c r="AM79" s="312"/>
      <c r="AN79" s="160"/>
    </row>
    <row r="80" spans="1:40" ht="15" thickBot="1" x14ac:dyDescent="0.35">
      <c r="B80" s="301" t="s">
        <v>57</v>
      </c>
      <c r="C80" s="302"/>
      <c r="D80" s="302"/>
      <c r="E80" s="303" t="s">
        <v>116</v>
      </c>
      <c r="F80" s="304"/>
      <c r="G80" s="304"/>
      <c r="H80" s="305"/>
      <c r="I80" s="306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  <c r="AA80" s="307"/>
      <c r="AB80" s="307"/>
      <c r="AC80" s="307"/>
      <c r="AD80" s="307"/>
      <c r="AE80" s="307"/>
      <c r="AF80" s="307"/>
      <c r="AG80" s="307"/>
      <c r="AH80" s="307"/>
      <c r="AI80" s="307"/>
      <c r="AJ80" s="307"/>
      <c r="AK80" s="307"/>
      <c r="AL80" s="308"/>
      <c r="AM80" s="101"/>
    </row>
    <row r="81" spans="1:40" ht="15.6" thickTop="1" thickBot="1" x14ac:dyDescent="0.35">
      <c r="A81" s="7"/>
      <c r="B81" s="102" t="s">
        <v>1</v>
      </c>
      <c r="C81" s="103" t="s">
        <v>2</v>
      </c>
      <c r="D81" s="104"/>
      <c r="E81" s="73">
        <v>1</v>
      </c>
      <c r="F81" s="73">
        <v>2</v>
      </c>
      <c r="G81" s="73">
        <v>3</v>
      </c>
      <c r="H81" s="73">
        <v>4</v>
      </c>
      <c r="I81" s="266">
        <v>5</v>
      </c>
      <c r="J81" s="266">
        <v>6</v>
      </c>
      <c r="K81" s="105">
        <v>7</v>
      </c>
      <c r="L81" s="105">
        <v>8</v>
      </c>
      <c r="M81" s="105">
        <v>9</v>
      </c>
      <c r="N81" s="105">
        <v>10</v>
      </c>
      <c r="O81" s="105">
        <v>11</v>
      </c>
      <c r="P81" s="266">
        <v>12</v>
      </c>
      <c r="Q81" s="266">
        <v>13</v>
      </c>
      <c r="R81" s="178">
        <v>14</v>
      </c>
      <c r="S81" s="178">
        <v>15</v>
      </c>
      <c r="T81" s="105">
        <v>16</v>
      </c>
      <c r="U81" s="105">
        <v>17</v>
      </c>
      <c r="V81" s="105">
        <v>18</v>
      </c>
      <c r="W81" s="266">
        <v>19</v>
      </c>
      <c r="X81" s="266">
        <v>20</v>
      </c>
      <c r="Y81" s="105">
        <v>21</v>
      </c>
      <c r="Z81" s="105">
        <v>22</v>
      </c>
      <c r="AA81" s="105">
        <v>23</v>
      </c>
      <c r="AB81" s="105">
        <v>24</v>
      </c>
      <c r="AC81" s="105">
        <v>25</v>
      </c>
      <c r="AD81" s="266">
        <v>26</v>
      </c>
      <c r="AE81" s="266">
        <v>27</v>
      </c>
      <c r="AF81" s="105">
        <v>28</v>
      </c>
      <c r="AG81" s="105">
        <v>29</v>
      </c>
      <c r="AH81" s="105">
        <v>30</v>
      </c>
      <c r="AI81" s="193">
        <v>31</v>
      </c>
      <c r="AJ81" s="106" t="s">
        <v>3</v>
      </c>
      <c r="AK81" s="107" t="s">
        <v>4</v>
      </c>
      <c r="AL81" s="281" t="s">
        <v>5</v>
      </c>
      <c r="AM81" s="282" t="s">
        <v>6</v>
      </c>
      <c r="AN81" s="5"/>
    </row>
    <row r="82" spans="1:40" ht="15.6" thickTop="1" thickBot="1" x14ac:dyDescent="0.35">
      <c r="B82" s="243" t="s">
        <v>91</v>
      </c>
      <c r="C82" s="244" t="s">
        <v>10</v>
      </c>
      <c r="D82" s="108"/>
      <c r="E82" s="68">
        <v>2</v>
      </c>
      <c r="F82" s="68">
        <v>2</v>
      </c>
      <c r="G82" s="68">
        <v>2</v>
      </c>
      <c r="H82" s="68">
        <v>2</v>
      </c>
      <c r="I82" s="265"/>
      <c r="J82" s="265"/>
      <c r="K82" s="68">
        <v>2</v>
      </c>
      <c r="L82" s="68">
        <v>2</v>
      </c>
      <c r="M82" s="68">
        <v>2</v>
      </c>
      <c r="N82" s="68">
        <v>2</v>
      </c>
      <c r="O82" s="68">
        <v>2</v>
      </c>
      <c r="P82" s="265"/>
      <c r="Q82" s="265"/>
      <c r="R82" s="114"/>
      <c r="S82" s="114"/>
      <c r="T82" s="68">
        <v>2</v>
      </c>
      <c r="U82" s="68">
        <v>2</v>
      </c>
      <c r="V82" s="68">
        <v>2</v>
      </c>
      <c r="W82" s="265"/>
      <c r="X82" s="265"/>
      <c r="Y82" s="68">
        <v>2</v>
      </c>
      <c r="Z82" s="68">
        <v>2</v>
      </c>
      <c r="AA82" s="68">
        <v>2</v>
      </c>
      <c r="AB82" s="68">
        <v>2</v>
      </c>
      <c r="AC82" s="68">
        <v>0</v>
      </c>
      <c r="AD82" s="265"/>
      <c r="AE82" s="265"/>
      <c r="AF82" s="68">
        <v>2</v>
      </c>
      <c r="AG82" s="68">
        <v>2</v>
      </c>
      <c r="AH82" s="68">
        <v>2</v>
      </c>
      <c r="AI82" s="193">
        <v>2</v>
      </c>
      <c r="AJ82" s="109">
        <f>SUM(E82:AI82)</f>
        <v>40</v>
      </c>
      <c r="AK82" s="110">
        <f>AJ82/2</f>
        <v>20</v>
      </c>
      <c r="AL82" s="283">
        <v>2135</v>
      </c>
      <c r="AM82" s="274">
        <f>AK82*AL82</f>
        <v>42700</v>
      </c>
      <c r="AN82" s="15"/>
    </row>
    <row r="83" spans="1:40" ht="15.6" thickTop="1" thickBot="1" x14ac:dyDescent="0.35">
      <c r="B83" s="243" t="s">
        <v>92</v>
      </c>
      <c r="C83" s="285" t="s">
        <v>120</v>
      </c>
      <c r="D83" s="108"/>
      <c r="E83" s="276">
        <v>2</v>
      </c>
      <c r="F83" s="276">
        <v>2</v>
      </c>
      <c r="G83" s="276">
        <v>2</v>
      </c>
      <c r="H83" s="276">
        <v>2</v>
      </c>
      <c r="I83" s="265"/>
      <c r="J83" s="265"/>
      <c r="K83" s="68">
        <v>2</v>
      </c>
      <c r="L83" s="68">
        <v>2</v>
      </c>
      <c r="M83" s="68">
        <v>2</v>
      </c>
      <c r="N83" s="68">
        <v>2</v>
      </c>
      <c r="O83" s="279">
        <v>2</v>
      </c>
      <c r="P83" s="265"/>
      <c r="Q83" s="265"/>
      <c r="R83" s="114"/>
      <c r="S83" s="114"/>
      <c r="T83" s="68">
        <v>2</v>
      </c>
      <c r="U83" s="68">
        <v>2</v>
      </c>
      <c r="V83" s="68">
        <v>2</v>
      </c>
      <c r="W83" s="265"/>
      <c r="X83" s="265"/>
      <c r="Y83" s="68">
        <v>2</v>
      </c>
      <c r="Z83" s="68">
        <v>2</v>
      </c>
      <c r="AA83" s="68">
        <v>2</v>
      </c>
      <c r="AB83" s="68">
        <v>2</v>
      </c>
      <c r="AC83" s="68">
        <v>0</v>
      </c>
      <c r="AD83" s="265"/>
      <c r="AE83" s="265"/>
      <c r="AF83" s="68">
        <v>2</v>
      </c>
      <c r="AG83" s="68">
        <v>2</v>
      </c>
      <c r="AH83" s="68">
        <v>2</v>
      </c>
      <c r="AI83" s="193">
        <v>2</v>
      </c>
      <c r="AJ83" s="109">
        <f>SUM(E83:AI83)</f>
        <v>40</v>
      </c>
      <c r="AK83" s="110">
        <f>AJ83/2</f>
        <v>20</v>
      </c>
      <c r="AL83" s="283">
        <v>2135</v>
      </c>
      <c r="AM83" s="274">
        <f>AL83*AK83</f>
        <v>42700</v>
      </c>
      <c r="AN83" s="15"/>
    </row>
    <row r="84" spans="1:40" ht="15.6" thickTop="1" thickBot="1" x14ac:dyDescent="0.35">
      <c r="B84" s="245" t="s">
        <v>75</v>
      </c>
      <c r="C84" s="246"/>
      <c r="D84" s="156"/>
      <c r="E84" s="141"/>
      <c r="F84" s="141"/>
      <c r="G84" s="141"/>
      <c r="H84" s="141"/>
      <c r="I84" s="273"/>
      <c r="J84" s="273"/>
      <c r="K84" s="141"/>
      <c r="L84" s="141"/>
      <c r="M84" s="141"/>
      <c r="N84" s="141"/>
      <c r="O84" s="141"/>
      <c r="P84" s="273"/>
      <c r="Q84" s="273"/>
      <c r="R84" s="286"/>
      <c r="S84" s="286"/>
      <c r="T84" s="141"/>
      <c r="U84" s="141"/>
      <c r="V84" s="141"/>
      <c r="W84" s="273"/>
      <c r="X84" s="273"/>
      <c r="Y84" s="141"/>
      <c r="Z84" s="141"/>
      <c r="AA84" s="141"/>
      <c r="AB84" s="141"/>
      <c r="AC84" s="141"/>
      <c r="AD84" s="273"/>
      <c r="AE84" s="273"/>
      <c r="AF84" s="141"/>
      <c r="AG84" s="141"/>
      <c r="AH84" s="141"/>
      <c r="AI84" s="193"/>
      <c r="AJ84" s="19">
        <f>SUM(E84:AI84)</f>
        <v>0</v>
      </c>
      <c r="AK84" s="110">
        <f>AJ84/2</f>
        <v>0</v>
      </c>
      <c r="AL84" s="283">
        <v>1400</v>
      </c>
      <c r="AM84" s="274">
        <f>AL84*AK84</f>
        <v>0</v>
      </c>
      <c r="AN84" s="15"/>
    </row>
    <row r="85" spans="1:40" ht="15.6" thickTop="1" thickBot="1" x14ac:dyDescent="0.35"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  <c r="AA85" s="313"/>
      <c r="AB85" s="313"/>
      <c r="AC85" s="313"/>
      <c r="AD85" s="313"/>
      <c r="AE85" s="313"/>
      <c r="AF85" s="313"/>
      <c r="AG85" s="313"/>
      <c r="AH85" s="313"/>
      <c r="AI85" s="313"/>
      <c r="AJ85" s="313"/>
      <c r="AK85" s="314"/>
      <c r="AL85" s="284"/>
      <c r="AM85" s="280">
        <f>SUM(AM82:AM84)</f>
        <v>85400</v>
      </c>
    </row>
    <row r="86" spans="1:40" ht="15" thickTop="1" x14ac:dyDescent="0.3">
      <c r="A86" s="153"/>
      <c r="B86" s="311"/>
      <c r="C86" s="311"/>
      <c r="D86" s="311"/>
      <c r="E86" s="311"/>
      <c r="F86" s="311"/>
      <c r="G86" s="311"/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1"/>
      <c r="AC86" s="311"/>
      <c r="AD86" s="311"/>
      <c r="AE86" s="311"/>
      <c r="AF86" s="311"/>
      <c r="AG86" s="311"/>
      <c r="AH86" s="311"/>
      <c r="AI86" s="311"/>
      <c r="AJ86" s="311"/>
      <c r="AK86" s="311"/>
      <c r="AL86" s="311"/>
      <c r="AM86" s="311"/>
      <c r="AN86" s="10"/>
    </row>
    <row r="87" spans="1:40" x14ac:dyDescent="0.3">
      <c r="A87" s="295" t="s">
        <v>121</v>
      </c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295"/>
      <c r="AM87" s="295"/>
    </row>
  </sheetData>
  <mergeCells count="12">
    <mergeCell ref="A87:AM87"/>
    <mergeCell ref="C1:AM1"/>
    <mergeCell ref="A66:AL66"/>
    <mergeCell ref="B80:D80"/>
    <mergeCell ref="E80:H80"/>
    <mergeCell ref="I80:AL80"/>
    <mergeCell ref="A67:AM67"/>
    <mergeCell ref="A68:AM68"/>
    <mergeCell ref="A69:AM69"/>
    <mergeCell ref="A70:AM79"/>
    <mergeCell ref="B86:AM86"/>
    <mergeCell ref="B85:AK85"/>
  </mergeCells>
  <printOptions horizontalCentered="1"/>
  <pageMargins left="0.23622047244094491" right="0.23622047244094491" top="0" bottom="0" header="0" footer="0"/>
  <pageSetup paperSize="9" scale="74" orientation="landscape" horizontalDpi="360" verticalDpi="360" r:id="rId1"/>
  <rowBreaks count="1" manualBreakCount="1">
    <brk id="75" max="38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TEMMUZ 2025</vt:lpstr>
      <vt:lpstr>'TEMMUZ 2025'!Yazdırma_Alanı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2025-08-06T11:52:57Z</dcterms:modified>
</cp:coreProperties>
</file>