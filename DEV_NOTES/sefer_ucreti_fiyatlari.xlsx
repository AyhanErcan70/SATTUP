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515"/>
  </bookViews>
  <sheets>
    <sheet name="Sayfa1" sheetId="2" r:id="rId1"/>
  </sheets>
  <definedNames>
    <definedName name="_xlnm.Print_Area" localSheetId="0">Sayfa1!$A$1:$G$47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2" l="1"/>
  <c r="F6" i="2"/>
  <c r="F7" i="2"/>
  <c r="F9" i="2"/>
  <c r="F8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G35" i="2" l="1"/>
  <c r="E35" i="2" l="1"/>
</calcChain>
</file>

<file path=xl/sharedStrings.xml><?xml version="1.0" encoding="utf-8"?>
<sst xmlns="http://schemas.openxmlformats.org/spreadsheetml/2006/main" count="41" uniqueCount="41">
  <si>
    <t>ARAÇ</t>
  </si>
  <si>
    <t>NO</t>
  </si>
  <si>
    <t>GÜZERGAH</t>
  </si>
  <si>
    <t>ADAP.1 YAZLIK -Ş.MAH-ERNLR ÇİFT</t>
  </si>
  <si>
    <t>KAP.</t>
  </si>
  <si>
    <t>KM</t>
  </si>
  <si>
    <t>ADAP.2 K.TERM. -GÜNEŞLER            TEK</t>
  </si>
  <si>
    <t>ADAP.3 SERDİVAN                                  TEK</t>
  </si>
  <si>
    <t>ADAP.2 K.TERM. -GÜNEŞLER            ÇİFT</t>
  </si>
  <si>
    <t>ADAP.1 YAZLIK -Ş.MAH-ERNLR         TEK</t>
  </si>
  <si>
    <t>ADAP.3 SERDİVAN-                                ÇİFT</t>
  </si>
  <si>
    <t>HENDEK 1 K. BAŞI                                 TEK</t>
  </si>
  <si>
    <t>HENDEK KAZİMİYE                              TEK</t>
  </si>
  <si>
    <t>HENDEK YENİ MAH.                             TEK</t>
  </si>
  <si>
    <t>HENDEK YENİ MAH. SGK                   TEK</t>
  </si>
  <si>
    <t>HENDEK YENİ MAH. SGK                   ÇİFT</t>
  </si>
  <si>
    <t xml:space="preserve">HENDEK YENİ MAH.                             ÇİFT </t>
  </si>
  <si>
    <t>HENDEK KAZİMİYE                              ÇİFT</t>
  </si>
  <si>
    <t>HENDEK 1 K. BAŞI                                  ÇİFT</t>
  </si>
  <si>
    <t xml:space="preserve">HENDEK Y.OSMAN -B.TEPE              ÇİFT     </t>
  </si>
  <si>
    <t>HENDEK Y.OSMAN -B.TEPE                TEK</t>
  </si>
  <si>
    <t>HENDEK MERKEZ                                ÇİFT</t>
  </si>
  <si>
    <t>HENDEK MERKEZ                                 TEK</t>
  </si>
  <si>
    <t>HENDEK KARA TOPRAK                     ÇİFT</t>
  </si>
  <si>
    <t>HENDEK KARA TOPRAK                      TEK</t>
  </si>
  <si>
    <t>HENDEK SU KENARI                            ÇİFT</t>
  </si>
  <si>
    <t>HENDEK SU KENARI                             TEK</t>
  </si>
  <si>
    <t>HENDEK DÜZYAZI  - PUNA                 ÇİFT</t>
  </si>
  <si>
    <t>HENDEK DÜZYAZI                                  TEK</t>
  </si>
  <si>
    <t>AKYAZI MERKEZ                                    ÇİFT</t>
  </si>
  <si>
    <t>AKYAZI MERKEZ                                     TEK</t>
  </si>
  <si>
    <t>HEN.KOCAAHMET-HACIKIŞLA         ÇİFT</t>
  </si>
  <si>
    <t>HEN.KOCAAHMET-HACIKIŞLA          TEK</t>
  </si>
  <si>
    <t>FİYAT</t>
  </si>
  <si>
    <t xml:space="preserve"> FİYATI</t>
  </si>
  <si>
    <t xml:space="preserve">ALYAN GIDA ÜRETİM VE İTHALAT İHRACAT SAN.VE TİC.AŞ </t>
  </si>
  <si>
    <t>2025 YILI PERSONEL TAŞIMA FİYAT TEKLİFİ</t>
  </si>
  <si>
    <t>SAKARYA ASİL TUR</t>
  </si>
  <si>
    <t xml:space="preserve">ONAYLANDI </t>
  </si>
  <si>
    <t>HENDEK MEMUR  B.YAKA                 ÇİFT</t>
  </si>
  <si>
    <t>HENDEK MEMUR   B.YAKA                TEK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</si>
</sst>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\ &quot;₺&quot;"/>
    <numFmt numFmtId="165" formatCode="&quot;₺&quot;#,##0.00"/>
  </numFmts>
  <fonts count="18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b/>
      <sz val="10"/>
      <color theme="1"/>
      <name val="Times New Roman"/>
      <family val="1"/>
      <charset val="162"/>
    </font>
    <font>
      <b/>
      <sz val="11"/>
      <color theme="1"/>
      <name val="Times New Roman"/>
      <family val="1"/>
      <charset val="162"/>
    </font>
    <font>
      <b/>
      <sz val="10"/>
      <name val="Times New Roman"/>
      <family val="1"/>
      <charset val="162"/>
    </font>
    <font>
      <b/>
      <sz val="11"/>
      <color theme="1"/>
      <name val="Calibri"/>
      <family val="2"/>
      <scheme val="minor"/>
    </font>
    <font>
      <b/>
      <sz val="11"/>
      <name val="Times New Roman"/>
      <family val="1"/>
      <charset val="162"/>
    </font>
    <font>
      <b/>
      <sz val="11"/>
      <name val="Calibri"/>
      <family val="2"/>
      <scheme val="minor"/>
    </font>
    <font>
      <b/>
      <sz val="11"/>
      <color rgb="FFFF0000"/>
      <name val="Times New Roman"/>
      <family val="1"/>
      <charset val="162"/>
    </font>
    <font>
      <b/>
      <sz val="9"/>
      <color rgb="FFFF0000"/>
      <name val="Times New Roman"/>
      <family val="1"/>
      <charset val="162"/>
    </font>
    <font>
      <sz val="9"/>
      <color theme="1"/>
      <name val="Times New Roman"/>
      <family val="1"/>
      <charset val="16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b/>
      <sz val="12"/>
      <color rgb="FFFF0000"/>
      <name val="Times New Roman"/>
      <family val="1"/>
      <charset val="162"/>
    </font>
    <font>
      <b/>
      <sz val="10"/>
      <color rgb="FFFF0000"/>
      <name val="Times New Roman"/>
      <family val="1"/>
      <charset val="16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/>
      <right style="thick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/>
      <top style="thick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/>
      <bottom style="double">
        <color auto="1"/>
      </bottom>
      <diagonal/>
    </border>
    <border>
      <left style="thick">
        <color auto="1"/>
      </left>
      <right/>
      <top/>
      <bottom style="double">
        <color auto="1"/>
      </bottom>
      <diagonal/>
    </border>
    <border>
      <left style="thick">
        <color auto="1"/>
      </left>
      <right style="thick">
        <color auto="1"/>
      </right>
      <top style="double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double">
        <color auto="1"/>
      </top>
      <bottom/>
      <diagonal/>
    </border>
    <border>
      <left/>
      <right style="thick">
        <color auto="1"/>
      </right>
      <top/>
      <bottom style="double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double">
        <color auto="1"/>
      </bottom>
      <diagonal/>
    </border>
    <border>
      <left/>
      <right style="thick">
        <color auto="1"/>
      </right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thick">
        <color auto="1"/>
      </left>
      <right/>
      <top style="medium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double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ck">
        <color auto="1"/>
      </left>
      <right/>
      <top/>
      <bottom style="medium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/>
      <top style="double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ck">
        <color auto="1"/>
      </left>
      <right/>
      <top style="medium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medium">
        <color auto="1"/>
      </right>
      <top/>
      <bottom/>
      <diagonal/>
    </border>
    <border>
      <left style="thick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double">
        <color auto="1"/>
      </bottom>
      <diagonal/>
    </border>
    <border>
      <left style="thick">
        <color auto="1"/>
      </left>
      <right style="medium">
        <color auto="1"/>
      </right>
      <top style="double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3" borderId="5" xfId="0" applyFont="1" applyFill="1" applyBorder="1"/>
    <xf numFmtId="0" fontId="6" fillId="0" borderId="8" xfId="0" applyFont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7" fillId="4" borderId="13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3" borderId="17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5" fillId="0" borderId="9" xfId="0" applyFont="1" applyBorder="1"/>
    <xf numFmtId="0" fontId="5" fillId="4" borderId="13" xfId="0" applyFont="1" applyFill="1" applyBorder="1"/>
    <xf numFmtId="0" fontId="8" fillId="0" borderId="0" xfId="0" applyFont="1" applyBorder="1" applyAlignment="1">
      <alignment horizontal="center"/>
    </xf>
    <xf numFmtId="0" fontId="5" fillId="3" borderId="0" xfId="0" applyFont="1" applyFill="1" applyBorder="1"/>
    <xf numFmtId="0" fontId="7" fillId="3" borderId="0" xfId="0" applyFont="1" applyFill="1" applyBorder="1" applyAlignment="1">
      <alignment horizontal="center"/>
    </xf>
    <xf numFmtId="0" fontId="10" fillId="3" borderId="0" xfId="0" applyFont="1" applyFill="1" applyBorder="1" applyAlignment="1"/>
    <xf numFmtId="14" fontId="7" fillId="3" borderId="0" xfId="0" applyNumberFormat="1" applyFont="1" applyFill="1" applyBorder="1" applyAlignment="1">
      <alignment horizontal="left" vertical="center"/>
    </xf>
    <xf numFmtId="0" fontId="3" fillId="0" borderId="5" xfId="0" applyFont="1" applyBorder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165" fontId="9" fillId="0" borderId="18" xfId="0" applyNumberFormat="1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4" borderId="3" xfId="0" applyFont="1" applyFill="1" applyBorder="1"/>
    <xf numFmtId="0" fontId="7" fillId="4" borderId="2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165" fontId="4" fillId="4" borderId="4" xfId="0" applyNumberFormat="1" applyFont="1" applyFill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5" fillId="3" borderId="20" xfId="0" applyFont="1" applyFill="1" applyBorder="1"/>
    <xf numFmtId="165" fontId="4" fillId="0" borderId="11" xfId="0" applyNumberFormat="1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5" fillId="3" borderId="22" xfId="0" applyFont="1" applyFill="1" applyBorder="1"/>
    <xf numFmtId="0" fontId="7" fillId="3" borderId="23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/>
    </xf>
    <xf numFmtId="165" fontId="4" fillId="0" borderId="21" xfId="0" applyNumberFormat="1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5" fillId="4" borderId="26" xfId="0" applyFont="1" applyFill="1" applyBorder="1"/>
    <xf numFmtId="0" fontId="7" fillId="4" borderId="27" xfId="0" applyFont="1" applyFill="1" applyBorder="1" applyAlignment="1">
      <alignment horizontal="center"/>
    </xf>
    <xf numFmtId="0" fontId="7" fillId="4" borderId="28" xfId="0" applyFont="1" applyFill="1" applyBorder="1" applyAlignment="1">
      <alignment horizontal="center"/>
    </xf>
    <xf numFmtId="165" fontId="4" fillId="4" borderId="29" xfId="0" applyNumberFormat="1" applyFont="1" applyFill="1" applyBorder="1" applyAlignment="1">
      <alignment horizontal="center"/>
    </xf>
    <xf numFmtId="0" fontId="7" fillId="4" borderId="30" xfId="0" applyFont="1" applyFill="1" applyBorder="1" applyAlignment="1">
      <alignment horizontal="center"/>
    </xf>
    <xf numFmtId="0" fontId="7" fillId="4" borderId="31" xfId="0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7" fillId="4" borderId="32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5" fillId="0" borderId="20" xfId="0" applyFont="1" applyBorder="1"/>
    <xf numFmtId="0" fontId="7" fillId="3" borderId="6" xfId="0" applyFont="1" applyFill="1" applyBorder="1" applyAlignment="1">
      <alignment horizontal="center"/>
    </xf>
    <xf numFmtId="0" fontId="8" fillId="0" borderId="33" xfId="0" applyFont="1" applyBorder="1" applyAlignment="1">
      <alignment horizontal="center"/>
    </xf>
    <xf numFmtId="0" fontId="5" fillId="0" borderId="22" xfId="0" applyFont="1" applyBorder="1"/>
    <xf numFmtId="0" fontId="7" fillId="0" borderId="23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7" fillId="4" borderId="19" xfId="0" applyFont="1" applyFill="1" applyBorder="1" applyAlignment="1">
      <alignment horizontal="center"/>
    </xf>
    <xf numFmtId="0" fontId="7" fillId="4" borderId="3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7" fillId="3" borderId="36" xfId="0" applyFont="1" applyFill="1" applyBorder="1" applyAlignment="1">
      <alignment horizontal="center"/>
    </xf>
    <xf numFmtId="0" fontId="5" fillId="4" borderId="25" xfId="0" applyFont="1" applyFill="1" applyBorder="1"/>
    <xf numFmtId="0" fontId="7" fillId="4" borderId="25" xfId="0" applyFont="1" applyFill="1" applyBorder="1" applyAlignment="1">
      <alignment horizontal="center"/>
    </xf>
    <xf numFmtId="165" fontId="0" fillId="0" borderId="0" xfId="0" applyNumberFormat="1"/>
    <xf numFmtId="14" fontId="5" fillId="3" borderId="0" xfId="0" applyNumberFormat="1" applyFont="1" applyFill="1" applyBorder="1" applyAlignment="1">
      <alignment horizontal="left" vertical="center"/>
    </xf>
    <xf numFmtId="165" fontId="14" fillId="0" borderId="0" xfId="0" applyNumberFormat="1" applyFont="1"/>
    <xf numFmtId="9" fontId="13" fillId="0" borderId="0" xfId="0" applyNumberFormat="1" applyFont="1"/>
    <xf numFmtId="0" fontId="9" fillId="2" borderId="38" xfId="0" applyFont="1" applyFill="1" applyBorder="1" applyAlignment="1">
      <alignment horizontal="center"/>
    </xf>
    <xf numFmtId="0" fontId="9" fillId="2" borderId="39" xfId="0" applyFont="1" applyFill="1" applyBorder="1" applyAlignment="1">
      <alignment horizontal="center"/>
    </xf>
    <xf numFmtId="164" fontId="9" fillId="3" borderId="40" xfId="0" applyNumberFormat="1" applyFont="1" applyFill="1" applyBorder="1" applyAlignment="1">
      <alignment horizontal="center"/>
    </xf>
    <xf numFmtId="164" fontId="9" fillId="4" borderId="41" xfId="0" applyNumberFormat="1" applyFont="1" applyFill="1" applyBorder="1" applyAlignment="1">
      <alignment horizontal="center"/>
    </xf>
    <xf numFmtId="164" fontId="9" fillId="3" borderId="42" xfId="0" applyNumberFormat="1" applyFont="1" applyFill="1" applyBorder="1" applyAlignment="1">
      <alignment horizontal="center"/>
    </xf>
    <xf numFmtId="164" fontId="9" fillId="4" borderId="43" xfId="0" applyNumberFormat="1" applyFont="1" applyFill="1" applyBorder="1" applyAlignment="1">
      <alignment horizontal="center"/>
    </xf>
    <xf numFmtId="164" fontId="9" fillId="3" borderId="44" xfId="0" applyNumberFormat="1" applyFont="1" applyFill="1" applyBorder="1" applyAlignment="1">
      <alignment horizontal="center"/>
    </xf>
    <xf numFmtId="164" fontId="9" fillId="4" borderId="45" xfId="0" applyNumberFormat="1" applyFont="1" applyFill="1" applyBorder="1" applyAlignment="1">
      <alignment horizontal="center"/>
    </xf>
    <xf numFmtId="164" fontId="9" fillId="3" borderId="37" xfId="0" applyNumberFormat="1" applyFont="1" applyFill="1" applyBorder="1" applyAlignment="1">
      <alignment horizontal="center"/>
    </xf>
    <xf numFmtId="0" fontId="14" fillId="0" borderId="0" xfId="0" applyFont="1"/>
    <xf numFmtId="10" fontId="16" fillId="0" borderId="0" xfId="0" applyNumberFormat="1" applyFont="1" applyAlignment="1">
      <alignment horizontal="center"/>
    </xf>
    <xf numFmtId="0" fontId="12" fillId="0" borderId="0" xfId="0" applyFont="1" applyAlignment="1">
      <alignment horizontal="left"/>
    </xf>
    <xf numFmtId="0" fontId="6" fillId="5" borderId="21" xfId="0" applyFont="1" applyFill="1" applyBorder="1" applyAlignment="1">
      <alignment horizontal="center"/>
    </xf>
    <xf numFmtId="0" fontId="6" fillId="5" borderId="25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164" fontId="9" fillId="3" borderId="10" xfId="0" applyNumberFormat="1" applyFont="1" applyFill="1" applyBorder="1" applyAlignment="1">
      <alignment horizontal="center"/>
    </xf>
    <xf numFmtId="164" fontId="9" fillId="3" borderId="46" xfId="0" applyNumberFormat="1" applyFont="1" applyFill="1" applyBorder="1" applyAlignment="1">
      <alignment horizontal="center"/>
    </xf>
    <xf numFmtId="165" fontId="17" fillId="0" borderId="0" xfId="0" applyNumberFormat="1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14" fontId="7" fillId="3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abSelected="1" zoomScaleNormal="100" workbookViewId="0">
      <selection activeCell="G4" sqref="G4"/>
    </sheetView>
  </sheetViews>
  <sheetFormatPr defaultRowHeight="15" x14ac:dyDescent="0.25"/>
  <cols>
    <col min="1" max="1" width="4.140625" customWidth="1"/>
    <col min="2" max="2" width="38.42578125" customWidth="1"/>
    <col min="3" max="3" width="7.5703125" customWidth="1"/>
    <col min="4" max="4" width="6.42578125" customWidth="1"/>
    <col min="5" max="7" width="13.28515625" customWidth="1"/>
    <col min="8" max="8" width="10" bestFit="1" customWidth="1"/>
    <col min="9" max="9" width="14.5703125" customWidth="1"/>
  </cols>
  <sheetData>
    <row r="1" spans="1:10" ht="19.149999999999999" customHeight="1" thickTop="1" x14ac:dyDescent="0.25">
      <c r="A1" s="89" t="s">
        <v>35</v>
      </c>
      <c r="B1" s="90"/>
      <c r="C1" s="90"/>
      <c r="D1" s="90"/>
      <c r="E1" s="90"/>
      <c r="F1" s="90"/>
      <c r="G1" s="91"/>
    </row>
    <row r="2" spans="1:10" ht="18.600000000000001" customHeight="1" thickBot="1" x14ac:dyDescent="0.3">
      <c r="A2" s="92" t="s">
        <v>36</v>
      </c>
      <c r="B2" s="93"/>
      <c r="C2" s="93"/>
      <c r="D2" s="93"/>
      <c r="E2" s="93"/>
      <c r="F2" s="93"/>
      <c r="G2" s="94"/>
    </row>
    <row r="3" spans="1:10" ht="21.75" customHeight="1" thickTop="1" x14ac:dyDescent="0.3">
      <c r="A3" s="1"/>
      <c r="B3" s="2"/>
      <c r="C3" s="2"/>
      <c r="D3" s="3" t="s">
        <v>0</v>
      </c>
      <c r="E3" s="70">
        <v>2024</v>
      </c>
      <c r="F3" s="84"/>
      <c r="G3" s="3">
        <v>2025</v>
      </c>
    </row>
    <row r="4" spans="1:10" ht="16.5" thickBot="1" x14ac:dyDescent="0.3">
      <c r="A4" s="4" t="s">
        <v>1</v>
      </c>
      <c r="B4" s="12" t="s">
        <v>2</v>
      </c>
      <c r="C4" s="12" t="s">
        <v>5</v>
      </c>
      <c r="D4" s="5" t="s">
        <v>4</v>
      </c>
      <c r="E4" s="71" t="s">
        <v>34</v>
      </c>
      <c r="F4" s="85"/>
      <c r="G4" s="23" t="s">
        <v>33</v>
      </c>
    </row>
    <row r="5" spans="1:10" ht="16.5" thickTop="1" thickBot="1" x14ac:dyDescent="0.3">
      <c r="A5" s="6">
        <v>1</v>
      </c>
      <c r="B5" s="16" t="s">
        <v>3</v>
      </c>
      <c r="C5" s="13">
        <v>80</v>
      </c>
      <c r="D5" s="7">
        <v>17</v>
      </c>
      <c r="E5" s="72">
        <v>1431</v>
      </c>
      <c r="F5" s="86">
        <f>G5-E5</f>
        <v>469</v>
      </c>
      <c r="G5" s="24">
        <v>1900</v>
      </c>
      <c r="H5" s="88">
        <v>0.33</v>
      </c>
      <c r="I5" s="66"/>
      <c r="J5" s="66"/>
    </row>
    <row r="6" spans="1:10" ht="16.5" thickTop="1" thickBot="1" x14ac:dyDescent="0.3">
      <c r="A6" s="27"/>
      <c r="B6" s="28" t="s">
        <v>9</v>
      </c>
      <c r="C6" s="29"/>
      <c r="D6" s="30">
        <v>17</v>
      </c>
      <c r="E6" s="73">
        <v>1219</v>
      </c>
      <c r="F6" s="86">
        <f t="shared" ref="F6:F34" si="0">G6-E6</f>
        <v>456</v>
      </c>
      <c r="G6" s="31">
        <v>1675</v>
      </c>
      <c r="H6" s="88">
        <v>0.37</v>
      </c>
    </row>
    <row r="7" spans="1:10" ht="16.5" thickTop="1" thickBot="1" x14ac:dyDescent="0.3">
      <c r="A7" s="35">
        <v>2</v>
      </c>
      <c r="B7" s="36" t="s">
        <v>8</v>
      </c>
      <c r="C7" s="37">
        <v>80</v>
      </c>
      <c r="D7" s="38">
        <v>17</v>
      </c>
      <c r="E7" s="74">
        <v>1431</v>
      </c>
      <c r="F7" s="86">
        <f t="shared" si="0"/>
        <v>469</v>
      </c>
      <c r="G7" s="39">
        <v>1900</v>
      </c>
      <c r="H7" s="66"/>
    </row>
    <row r="8" spans="1:10" ht="16.5" thickTop="1" thickBot="1" x14ac:dyDescent="0.3">
      <c r="A8" s="40"/>
      <c r="B8" s="41" t="s">
        <v>6</v>
      </c>
      <c r="C8" s="42"/>
      <c r="D8" s="43">
        <v>17</v>
      </c>
      <c r="E8" s="75">
        <v>1219</v>
      </c>
      <c r="F8" s="86">
        <f t="shared" si="0"/>
        <v>456</v>
      </c>
      <c r="G8" s="44">
        <v>1675</v>
      </c>
      <c r="H8" s="66"/>
    </row>
    <row r="9" spans="1:10" ht="16.5" thickTop="1" thickBot="1" x14ac:dyDescent="0.3">
      <c r="A9" s="32">
        <v>3</v>
      </c>
      <c r="B9" s="33" t="s">
        <v>10</v>
      </c>
      <c r="C9" s="14">
        <v>80</v>
      </c>
      <c r="D9" s="8">
        <v>17</v>
      </c>
      <c r="E9" s="76">
        <v>1431</v>
      </c>
      <c r="F9" s="86">
        <f t="shared" si="0"/>
        <v>469</v>
      </c>
      <c r="G9" s="34">
        <v>1900</v>
      </c>
      <c r="H9" s="66"/>
    </row>
    <row r="10" spans="1:10" ht="16.149999999999999" customHeight="1" thickTop="1" thickBot="1" x14ac:dyDescent="0.3">
      <c r="A10" s="27"/>
      <c r="B10" s="28" t="s">
        <v>7</v>
      </c>
      <c r="C10" s="29"/>
      <c r="D10" s="30">
        <v>17</v>
      </c>
      <c r="E10" s="73">
        <v>1219</v>
      </c>
      <c r="F10" s="86">
        <f t="shared" si="0"/>
        <v>456</v>
      </c>
      <c r="G10" s="31">
        <v>1675</v>
      </c>
      <c r="H10" s="66"/>
    </row>
    <row r="11" spans="1:10" ht="16.5" thickTop="1" thickBot="1" x14ac:dyDescent="0.3">
      <c r="A11" s="82">
        <v>4</v>
      </c>
      <c r="B11" s="36" t="s">
        <v>39</v>
      </c>
      <c r="C11" s="37">
        <v>36</v>
      </c>
      <c r="D11" s="38">
        <v>17</v>
      </c>
      <c r="E11" s="74">
        <v>1007</v>
      </c>
      <c r="F11" s="86">
        <f t="shared" si="0"/>
        <v>353</v>
      </c>
      <c r="G11" s="39">
        <v>1360</v>
      </c>
      <c r="H11" s="66"/>
    </row>
    <row r="12" spans="1:10" ht="16.5" thickTop="1" thickBot="1" x14ac:dyDescent="0.3">
      <c r="A12" s="83"/>
      <c r="B12" s="41" t="s">
        <v>40</v>
      </c>
      <c r="C12" s="45"/>
      <c r="D12" s="46">
        <v>17</v>
      </c>
      <c r="E12" s="75">
        <v>848</v>
      </c>
      <c r="F12" s="86">
        <f t="shared" si="0"/>
        <v>302</v>
      </c>
      <c r="G12" s="44">
        <v>1150</v>
      </c>
      <c r="H12" s="66"/>
    </row>
    <row r="13" spans="1:10" ht="16.899999999999999" customHeight="1" thickTop="1" thickBot="1" x14ac:dyDescent="0.3">
      <c r="A13" s="32">
        <v>5</v>
      </c>
      <c r="B13" s="33" t="s">
        <v>18</v>
      </c>
      <c r="C13" s="14">
        <v>36</v>
      </c>
      <c r="D13" s="8">
        <v>17</v>
      </c>
      <c r="E13" s="76">
        <v>1007</v>
      </c>
      <c r="F13" s="86">
        <f t="shared" si="0"/>
        <v>353</v>
      </c>
      <c r="G13" s="34">
        <v>1360</v>
      </c>
      <c r="H13" s="66"/>
    </row>
    <row r="14" spans="1:10" ht="17.45" customHeight="1" thickTop="1" thickBot="1" x14ac:dyDescent="0.3">
      <c r="A14" s="27"/>
      <c r="B14" s="28" t="s">
        <v>11</v>
      </c>
      <c r="C14" s="47"/>
      <c r="D14" s="48">
        <v>17</v>
      </c>
      <c r="E14" s="73">
        <v>848</v>
      </c>
      <c r="F14" s="86">
        <f t="shared" si="0"/>
        <v>302</v>
      </c>
      <c r="G14" s="31">
        <v>1150</v>
      </c>
      <c r="H14" s="66"/>
    </row>
    <row r="15" spans="1:10" ht="17.45" customHeight="1" thickTop="1" thickBot="1" x14ac:dyDescent="0.3">
      <c r="A15" s="35">
        <v>6</v>
      </c>
      <c r="B15" s="36" t="s">
        <v>17</v>
      </c>
      <c r="C15" s="37">
        <v>40</v>
      </c>
      <c r="D15" s="38">
        <v>17</v>
      </c>
      <c r="E15" s="74">
        <v>1060</v>
      </c>
      <c r="F15" s="86">
        <f t="shared" si="0"/>
        <v>370</v>
      </c>
      <c r="G15" s="39">
        <v>1430</v>
      </c>
      <c r="H15" s="66"/>
    </row>
    <row r="16" spans="1:10" ht="16.899999999999999" customHeight="1" thickTop="1" thickBot="1" x14ac:dyDescent="0.3">
      <c r="A16" s="40"/>
      <c r="B16" s="41" t="s">
        <v>12</v>
      </c>
      <c r="C16" s="45"/>
      <c r="D16" s="46">
        <v>17</v>
      </c>
      <c r="E16" s="75">
        <v>848</v>
      </c>
      <c r="F16" s="86">
        <f t="shared" si="0"/>
        <v>302</v>
      </c>
      <c r="G16" s="44">
        <v>1150</v>
      </c>
      <c r="H16" s="66"/>
    </row>
    <row r="17" spans="1:8" ht="16.5" thickTop="1" thickBot="1" x14ac:dyDescent="0.3">
      <c r="A17" s="32">
        <v>7</v>
      </c>
      <c r="B17" s="33" t="s">
        <v>16</v>
      </c>
      <c r="C17" s="14">
        <v>36</v>
      </c>
      <c r="D17" s="8">
        <v>17</v>
      </c>
      <c r="E17" s="76">
        <v>1007</v>
      </c>
      <c r="F17" s="86">
        <f t="shared" si="0"/>
        <v>353</v>
      </c>
      <c r="G17" s="34">
        <v>1360</v>
      </c>
      <c r="H17" s="66"/>
    </row>
    <row r="18" spans="1:8" ht="16.5" thickTop="1" thickBot="1" x14ac:dyDescent="0.3">
      <c r="A18" s="9"/>
      <c r="B18" s="28" t="s">
        <v>13</v>
      </c>
      <c r="C18" s="47"/>
      <c r="D18" s="48">
        <v>17</v>
      </c>
      <c r="E18" s="73">
        <v>848</v>
      </c>
      <c r="F18" s="86">
        <f t="shared" si="0"/>
        <v>302</v>
      </c>
      <c r="G18" s="31">
        <v>1150</v>
      </c>
      <c r="H18" s="66"/>
    </row>
    <row r="19" spans="1:8" ht="16.5" thickTop="1" thickBot="1" x14ac:dyDescent="0.3">
      <c r="A19" s="50">
        <v>8</v>
      </c>
      <c r="B19" s="36" t="s">
        <v>15</v>
      </c>
      <c r="C19" s="37">
        <v>36</v>
      </c>
      <c r="D19" s="38">
        <v>17</v>
      </c>
      <c r="E19" s="74">
        <v>1007</v>
      </c>
      <c r="F19" s="86">
        <f t="shared" si="0"/>
        <v>353</v>
      </c>
      <c r="G19" s="39">
        <v>1360</v>
      </c>
      <c r="H19" s="66"/>
    </row>
    <row r="20" spans="1:8" ht="16.5" thickTop="1" thickBot="1" x14ac:dyDescent="0.3">
      <c r="A20" s="40"/>
      <c r="B20" s="41" t="s">
        <v>14</v>
      </c>
      <c r="C20" s="45"/>
      <c r="D20" s="46">
        <v>17</v>
      </c>
      <c r="E20" s="75">
        <v>848</v>
      </c>
      <c r="F20" s="86">
        <f t="shared" si="0"/>
        <v>302</v>
      </c>
      <c r="G20" s="44">
        <v>1150</v>
      </c>
      <c r="H20" s="66"/>
    </row>
    <row r="21" spans="1:8" ht="16.5" thickTop="1" thickBot="1" x14ac:dyDescent="0.3">
      <c r="A21" s="49">
        <v>9</v>
      </c>
      <c r="B21" s="33" t="s">
        <v>19</v>
      </c>
      <c r="C21" s="14">
        <v>36</v>
      </c>
      <c r="D21" s="8">
        <v>17</v>
      </c>
      <c r="E21" s="76">
        <v>1007</v>
      </c>
      <c r="F21" s="86">
        <f t="shared" si="0"/>
        <v>353</v>
      </c>
      <c r="G21" s="34">
        <v>1360</v>
      </c>
      <c r="H21" s="66"/>
    </row>
    <row r="22" spans="1:8" ht="16.5" thickTop="1" thickBot="1" x14ac:dyDescent="0.3">
      <c r="A22" s="27"/>
      <c r="B22" s="28" t="s">
        <v>20</v>
      </c>
      <c r="C22" s="29"/>
      <c r="D22" s="30">
        <v>17</v>
      </c>
      <c r="E22" s="73">
        <v>848</v>
      </c>
      <c r="F22" s="86">
        <f t="shared" si="0"/>
        <v>302</v>
      </c>
      <c r="G22" s="31">
        <v>1150</v>
      </c>
      <c r="H22" s="66"/>
    </row>
    <row r="23" spans="1:8" ht="16.5" thickTop="1" thickBot="1" x14ac:dyDescent="0.3">
      <c r="A23" s="50">
        <v>10</v>
      </c>
      <c r="B23" s="36" t="s">
        <v>21</v>
      </c>
      <c r="C23" s="37">
        <v>36</v>
      </c>
      <c r="D23" s="38">
        <v>17</v>
      </c>
      <c r="E23" s="74">
        <v>1007</v>
      </c>
      <c r="F23" s="86">
        <f t="shared" si="0"/>
        <v>353</v>
      </c>
      <c r="G23" s="39">
        <v>1360</v>
      </c>
      <c r="H23" s="66"/>
    </row>
    <row r="24" spans="1:8" ht="16.5" thickTop="1" thickBot="1" x14ac:dyDescent="0.3">
      <c r="A24" s="40"/>
      <c r="B24" s="41" t="s">
        <v>22</v>
      </c>
      <c r="C24" s="45"/>
      <c r="D24" s="46">
        <v>17</v>
      </c>
      <c r="E24" s="75">
        <v>848</v>
      </c>
      <c r="F24" s="86">
        <f t="shared" si="0"/>
        <v>302</v>
      </c>
      <c r="G24" s="44">
        <v>1150</v>
      </c>
      <c r="H24" s="66"/>
    </row>
    <row r="25" spans="1:8" ht="16.5" thickTop="1" thickBot="1" x14ac:dyDescent="0.3">
      <c r="A25" s="51">
        <v>11</v>
      </c>
      <c r="B25" s="33" t="s">
        <v>23</v>
      </c>
      <c r="C25" s="14">
        <v>48</v>
      </c>
      <c r="D25" s="8">
        <v>17</v>
      </c>
      <c r="E25" s="76">
        <v>1229.5999999999999</v>
      </c>
      <c r="F25" s="86">
        <f t="shared" si="0"/>
        <v>430.40000000000009</v>
      </c>
      <c r="G25" s="34">
        <v>1660</v>
      </c>
      <c r="H25" s="66"/>
    </row>
    <row r="26" spans="1:8" ht="16.5" thickTop="1" thickBot="1" x14ac:dyDescent="0.3">
      <c r="A26" s="52"/>
      <c r="B26" s="28" t="s">
        <v>24</v>
      </c>
      <c r="C26" s="47"/>
      <c r="D26" s="48">
        <v>17</v>
      </c>
      <c r="E26" s="73">
        <v>1007</v>
      </c>
      <c r="F26" s="86">
        <f t="shared" si="0"/>
        <v>358</v>
      </c>
      <c r="G26" s="31">
        <v>1365</v>
      </c>
      <c r="H26" s="66"/>
    </row>
    <row r="27" spans="1:8" ht="16.5" thickTop="1" thickBot="1" x14ac:dyDescent="0.3">
      <c r="A27" s="55">
        <v>12</v>
      </c>
      <c r="B27" s="56" t="s">
        <v>25</v>
      </c>
      <c r="C27" s="57">
        <v>48</v>
      </c>
      <c r="D27" s="38">
        <v>17</v>
      </c>
      <c r="E27" s="74">
        <v>1229.5999999999999</v>
      </c>
      <c r="F27" s="86">
        <f t="shared" si="0"/>
        <v>430.40000000000009</v>
      </c>
      <c r="G27" s="39">
        <v>1660</v>
      </c>
      <c r="H27" s="66"/>
    </row>
    <row r="28" spans="1:8" ht="16.5" thickTop="1" thickBot="1" x14ac:dyDescent="0.3">
      <c r="A28" s="58"/>
      <c r="B28" s="41" t="s">
        <v>26</v>
      </c>
      <c r="C28" s="45"/>
      <c r="D28" s="46">
        <v>17</v>
      </c>
      <c r="E28" s="75">
        <v>1007</v>
      </c>
      <c r="F28" s="86">
        <f t="shared" si="0"/>
        <v>358</v>
      </c>
      <c r="G28" s="44">
        <v>1365</v>
      </c>
      <c r="H28" s="66"/>
    </row>
    <row r="29" spans="1:8" ht="16.5" thickTop="1" thickBot="1" x14ac:dyDescent="0.3">
      <c r="A29" s="51">
        <v>13</v>
      </c>
      <c r="B29" s="53" t="s">
        <v>27</v>
      </c>
      <c r="C29" s="15">
        <v>46</v>
      </c>
      <c r="D29" s="54">
        <v>17</v>
      </c>
      <c r="E29" s="76">
        <v>1229.5999999999999</v>
      </c>
      <c r="F29" s="86">
        <f t="shared" si="0"/>
        <v>430.40000000000009</v>
      </c>
      <c r="G29" s="34">
        <v>1660</v>
      </c>
      <c r="H29" s="66"/>
    </row>
    <row r="30" spans="1:8" ht="16.5" thickTop="1" thickBot="1" x14ac:dyDescent="0.3">
      <c r="A30" s="52"/>
      <c r="B30" s="28" t="s">
        <v>28</v>
      </c>
      <c r="C30" s="59"/>
      <c r="D30" s="60">
        <v>17</v>
      </c>
      <c r="E30" s="73">
        <v>1007</v>
      </c>
      <c r="F30" s="86">
        <f t="shared" si="0"/>
        <v>358</v>
      </c>
      <c r="G30" s="31">
        <v>1365</v>
      </c>
      <c r="H30" s="66"/>
    </row>
    <row r="31" spans="1:8" ht="16.5" thickTop="1" thickBot="1" x14ac:dyDescent="0.3">
      <c r="A31" s="55">
        <v>14</v>
      </c>
      <c r="B31" s="56" t="s">
        <v>29</v>
      </c>
      <c r="C31" s="62">
        <v>44</v>
      </c>
      <c r="D31" s="63">
        <v>17</v>
      </c>
      <c r="E31" s="74">
        <v>1229.5999999999999</v>
      </c>
      <c r="F31" s="86">
        <f t="shared" si="0"/>
        <v>430.40000000000009</v>
      </c>
      <c r="G31" s="39">
        <v>1660</v>
      </c>
      <c r="H31" s="66"/>
    </row>
    <row r="32" spans="1:8" ht="16.5" thickTop="1" thickBot="1" x14ac:dyDescent="0.3">
      <c r="A32" s="58"/>
      <c r="B32" s="64" t="s">
        <v>30</v>
      </c>
      <c r="C32" s="65"/>
      <c r="D32" s="65">
        <v>17</v>
      </c>
      <c r="E32" s="75">
        <v>1007</v>
      </c>
      <c r="F32" s="86">
        <f t="shared" si="0"/>
        <v>358</v>
      </c>
      <c r="G32" s="44">
        <v>1365</v>
      </c>
      <c r="H32" s="66"/>
    </row>
    <row r="33" spans="1:11" ht="16.5" thickTop="1" thickBot="1" x14ac:dyDescent="0.3">
      <c r="A33" s="51">
        <v>15</v>
      </c>
      <c r="B33" s="5" t="s">
        <v>31</v>
      </c>
      <c r="C33" s="61">
        <v>80</v>
      </c>
      <c r="D33" s="61">
        <v>17</v>
      </c>
      <c r="E33" s="76">
        <v>1431</v>
      </c>
      <c r="F33" s="86">
        <f t="shared" si="0"/>
        <v>469</v>
      </c>
      <c r="G33" s="34">
        <v>1900</v>
      </c>
      <c r="H33" s="66"/>
    </row>
    <row r="34" spans="1:11" ht="16.5" thickTop="1" thickBot="1" x14ac:dyDescent="0.3">
      <c r="A34" s="10"/>
      <c r="B34" s="17" t="s">
        <v>32</v>
      </c>
      <c r="C34" s="11"/>
      <c r="D34" s="11">
        <v>17</v>
      </c>
      <c r="E34" s="77">
        <v>1219</v>
      </c>
      <c r="F34" s="86">
        <f t="shared" si="0"/>
        <v>481</v>
      </c>
      <c r="G34" s="31">
        <v>1700</v>
      </c>
      <c r="H34" s="66"/>
    </row>
    <row r="35" spans="1:11" ht="16.5" thickTop="1" thickBot="1" x14ac:dyDescent="0.3">
      <c r="A35" s="18"/>
      <c r="B35" s="19"/>
      <c r="C35" s="20"/>
      <c r="D35" s="20"/>
      <c r="E35" s="78">
        <f>SUM(E5:E34)</f>
        <v>32584.399999999994</v>
      </c>
      <c r="F35" s="87"/>
      <c r="G35" s="26">
        <f>SUM(G5:G34)</f>
        <v>44065</v>
      </c>
      <c r="H35" s="68"/>
    </row>
    <row r="36" spans="1:11" ht="15.75" thickTop="1" x14ac:dyDescent="0.25">
      <c r="A36" s="21"/>
      <c r="B36" s="21"/>
      <c r="C36" s="21"/>
      <c r="D36" s="21"/>
      <c r="E36" s="22"/>
      <c r="F36" s="22"/>
      <c r="G36" s="67"/>
      <c r="H36" s="69"/>
    </row>
    <row r="37" spans="1:11" x14ac:dyDescent="0.25">
      <c r="A37" s="21"/>
      <c r="B37" s="21"/>
      <c r="C37" s="21"/>
      <c r="D37" s="21"/>
      <c r="E37" s="98">
        <v>45678</v>
      </c>
      <c r="F37" s="98"/>
      <c r="G37" s="98"/>
    </row>
    <row r="38" spans="1:11" x14ac:dyDescent="0.25">
      <c r="A38" s="21"/>
      <c r="B38" s="21"/>
      <c r="C38" s="21"/>
      <c r="D38" s="21"/>
      <c r="E38" s="98" t="s">
        <v>37</v>
      </c>
      <c r="F38" s="98"/>
      <c r="G38" s="98"/>
    </row>
    <row r="39" spans="1:11" x14ac:dyDescent="0.25">
      <c r="A39" s="95"/>
      <c r="B39" s="95"/>
      <c r="C39" s="95"/>
      <c r="D39" s="95"/>
      <c r="E39" s="95"/>
      <c r="F39" s="95"/>
      <c r="G39" s="95"/>
      <c r="H39" s="66"/>
    </row>
    <row r="40" spans="1:11" ht="15.75" x14ac:dyDescent="0.25">
      <c r="A40" s="97" t="s">
        <v>38</v>
      </c>
      <c r="B40" s="97"/>
      <c r="C40" s="97"/>
      <c r="D40" s="97"/>
      <c r="E40" s="97"/>
      <c r="F40" s="97"/>
      <c r="G40" s="97"/>
    </row>
    <row r="41" spans="1:11" x14ac:dyDescent="0.25">
      <c r="A41" s="95"/>
      <c r="B41" s="95"/>
      <c r="C41" s="95"/>
      <c r="D41" s="95"/>
      <c r="E41" s="95"/>
      <c r="F41" s="95"/>
      <c r="G41" s="95"/>
      <c r="K41" s="25"/>
    </row>
    <row r="42" spans="1:11" x14ac:dyDescent="0.25">
      <c r="A42" s="96"/>
      <c r="B42" s="96"/>
      <c r="C42" s="96"/>
      <c r="D42" s="96"/>
      <c r="E42" s="96"/>
      <c r="F42" s="81"/>
      <c r="G42" s="80">
        <v>0.3523</v>
      </c>
    </row>
    <row r="43" spans="1:11" x14ac:dyDescent="0.25">
      <c r="C43" s="79"/>
    </row>
  </sheetData>
  <mergeCells count="8">
    <mergeCell ref="A1:G1"/>
    <mergeCell ref="A2:G2"/>
    <mergeCell ref="A41:G41"/>
    <mergeCell ref="A42:E42"/>
    <mergeCell ref="A39:G39"/>
    <mergeCell ref="A40:G40"/>
    <mergeCell ref="E37:G37"/>
    <mergeCell ref="E38:G38"/>
  </mergeCells>
  <printOptions verticalCentered="1"/>
  <pageMargins left="0.51181102362204722" right="0.11811023622047245" top="0.78740157480314965" bottom="0" header="0" footer="0.11811023622047245"/>
  <pageSetup paperSize="9" scale="9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2026-01-08T13:40:35Z</dcterms:modified>
</cp:coreProperties>
</file>