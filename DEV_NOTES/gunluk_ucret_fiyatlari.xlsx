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515"/>
  </bookViews>
  <sheets>
    <sheet name="Sayfa1" sheetId="1" r:id="rId1"/>
  </sheets>
  <definedNames>
    <definedName name="_xlnm.Print_Area" localSheetId="0">Sayfa1!$A$1:$G$53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6" i="1" l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G47" i="1" l="1"/>
  <c r="E52" i="1" s="1"/>
  <c r="E47" i="1"/>
</calcChain>
</file>

<file path=xl/sharedStrings.xml><?xml version="1.0" encoding="utf-8"?>
<sst xmlns="http://schemas.openxmlformats.org/spreadsheetml/2006/main" count="57" uniqueCount="54">
  <si>
    <t>OZANLAR</t>
  </si>
  <si>
    <t>PATATES HALİ</t>
  </si>
  <si>
    <t xml:space="preserve">SERDVN 1 </t>
  </si>
  <si>
    <t>K.PAŞA-ADATIP TEK</t>
  </si>
  <si>
    <t>KORCK-E.KÖY</t>
  </si>
  <si>
    <t>KORUCUK-YAZLIK</t>
  </si>
  <si>
    <t>BEŞEVLER/ALANDÜZÜ (UZADI)</t>
  </si>
  <si>
    <t>CAMİLİ.1-KARAMAN</t>
  </si>
  <si>
    <t>32 EVLR.BEŞ KÖPRÜ</t>
  </si>
  <si>
    <t>ŞEKER M.MUHTARLIK</t>
  </si>
  <si>
    <t>ŞEKER FAB.ESKİ STADYUM</t>
  </si>
  <si>
    <t>Ş.MAH. İLAVE H.OĞLU/ERNLER BLD.</t>
  </si>
  <si>
    <t>SAPANCA-KURT KÖY  (UZADI)</t>
  </si>
  <si>
    <t>ARİFİYE-1</t>
  </si>
  <si>
    <t>ESENCE 1- B.ESENCE</t>
  </si>
  <si>
    <t>ESENCE 2/BEK.PAŞA</t>
  </si>
  <si>
    <t>ÇATAL KÖPRÜ-ORM.KÖY</t>
  </si>
  <si>
    <t>GÜNŞLR-OTTOMAN</t>
  </si>
  <si>
    <t>YENİ CAMİ  1-SALKO CAMİİ</t>
  </si>
  <si>
    <t>AKYAZI -1</t>
  </si>
  <si>
    <t>YENİ CAMİ -İŞ BANKASI  MRKZ</t>
  </si>
  <si>
    <t>GÜNEŞLER-E.GARAJ-ESER OKULU</t>
  </si>
  <si>
    <t>FATİH  E.MESLEK OK. KUYU DİBİ</t>
  </si>
  <si>
    <t>KARAMAN-EVREN KÖY</t>
  </si>
  <si>
    <t>GÜLLÜK CAMİ-TEK</t>
  </si>
  <si>
    <t>GEYVE</t>
  </si>
  <si>
    <t>TÜRBE-HIZIRTEPE</t>
  </si>
  <si>
    <t>DAĞ DİBİ-GÜNEŞLR-ÇEV.YOLU</t>
  </si>
  <si>
    <t xml:space="preserve">AKYAZI 2 </t>
  </si>
  <si>
    <t>YOGLAR-ALKİT-KUMKÖY</t>
  </si>
  <si>
    <t>AŞIRLAR-YAZLIK-M.TEPE ALT YOL</t>
  </si>
  <si>
    <t>SRDİVAN .2 ARABACI ALANI-LOJM.</t>
  </si>
  <si>
    <t>FERİZLİ-SÖĞÜTLÜ-AKARCA</t>
  </si>
  <si>
    <t>VARİYA ÇARŞI -1              GİRİŞ/ ÇIKIŞ</t>
  </si>
  <si>
    <t>08/16/24</t>
  </si>
  <si>
    <t>ARALIK + SERDİVAN    GİRİŞ/ÇIKIŞ</t>
  </si>
  <si>
    <t>VRD. KORUCUK              GİRİŞ-ÇIKIŞ</t>
  </si>
  <si>
    <t>GÜZERGAHLAR</t>
  </si>
  <si>
    <t>GÜZ.</t>
  </si>
  <si>
    <t>KM</t>
  </si>
  <si>
    <t>ARÇ.KAP.</t>
  </si>
  <si>
    <t>SERD.-MAVİ  DURAK-KAMPÜSE UZADI</t>
  </si>
  <si>
    <t>ÇÖKEKLER-GÜNŞ-BUDAKLAR-UZADI</t>
  </si>
  <si>
    <t>ARİFİYE 2 / AÇMALAR</t>
  </si>
  <si>
    <t>ARİFİYE 3  - HANLIKÖY</t>
  </si>
  <si>
    <t>2024 YILI</t>
  </si>
  <si>
    <t>FİYAT</t>
  </si>
  <si>
    <t xml:space="preserve">BAŞAK TRAKTÖR  2025 PERSONEL TAŞIMA FİYAT TELİFİ   </t>
  </si>
  <si>
    <r>
      <t xml:space="preserve">EKİNLİ -ÇAYBAŞI- </t>
    </r>
    <r>
      <rPr>
        <b/>
        <sz val="9"/>
        <color rgb="FFFF0000"/>
        <rFont val="Times New Roman"/>
        <family val="1"/>
        <charset val="162"/>
      </rPr>
      <t>(UZADI K.PÜRÇEK)</t>
    </r>
  </si>
  <si>
    <t>SAKARYA ASİL TUR</t>
  </si>
  <si>
    <t>LTD.ŞTİ</t>
  </si>
  <si>
    <t xml:space="preserve">                                                                                                              </t>
  </si>
  <si>
    <t>GEÇERLİ TEKLİF</t>
  </si>
  <si>
    <t>27 LİK OLDU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</si>
</sst>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₺&quot;#,##0.00"/>
    <numFmt numFmtId="165" formatCode="#,##0.0000"/>
    <numFmt numFmtId="166" formatCode="0.0000"/>
    <numFmt numFmtId="167" formatCode="&quot;₺&quot;#,##0.0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4"/>
      <color theme="1"/>
      <name val="Times New Roman"/>
      <family val="1"/>
      <charset val="162"/>
    </font>
    <font>
      <b/>
      <sz val="10"/>
      <color theme="1"/>
      <name val="Times New Roman"/>
      <family val="1"/>
      <charset val="162"/>
    </font>
    <font>
      <b/>
      <sz val="10"/>
      <name val="Times New Roman"/>
      <family val="1"/>
      <charset val="162"/>
    </font>
    <font>
      <b/>
      <sz val="9"/>
      <name val="Times New Roman"/>
      <family val="1"/>
      <charset val="162"/>
    </font>
    <font>
      <b/>
      <sz val="9"/>
      <color theme="1"/>
      <name val="Times New Roman"/>
      <family val="1"/>
      <charset val="162"/>
    </font>
    <font>
      <b/>
      <sz val="12"/>
      <color theme="1"/>
      <name val="Times New Roman"/>
      <family val="1"/>
      <charset val="162"/>
    </font>
    <font>
      <sz val="10"/>
      <color theme="1"/>
      <name val="Times New Roman"/>
      <family val="1"/>
      <charset val="162"/>
    </font>
    <font>
      <b/>
      <sz val="10"/>
      <color rgb="FFFF0000"/>
      <name val="Times New Roman"/>
      <family val="1"/>
      <charset val="162"/>
    </font>
    <font>
      <b/>
      <sz val="9"/>
      <color rgb="FFFF0000"/>
      <name val="Times New Roman"/>
      <family val="1"/>
      <charset val="162"/>
    </font>
    <font>
      <sz val="11"/>
      <color rgb="FFFF0000"/>
      <name val="Calibri"/>
      <family val="2"/>
      <scheme val="minor"/>
    </font>
    <font>
      <b/>
      <sz val="11"/>
      <color theme="1"/>
      <name val="Times New Roman"/>
      <family val="1"/>
      <charset val="162"/>
    </font>
    <font>
      <b/>
      <sz val="11"/>
      <color rgb="FFFF0000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/>
      <diagonal/>
    </border>
    <border>
      <left style="medium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medium">
        <color auto="1"/>
      </right>
      <top/>
      <bottom style="double">
        <color auto="1"/>
      </bottom>
      <diagonal/>
    </border>
    <border>
      <left style="thick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thick">
        <color auto="1"/>
      </left>
      <right style="medium">
        <color auto="1"/>
      </right>
      <top style="double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thick">
        <color auto="1"/>
      </bottom>
      <diagonal/>
    </border>
    <border>
      <left/>
      <right style="thick">
        <color auto="1"/>
      </right>
      <top/>
      <bottom style="double">
        <color auto="1"/>
      </bottom>
      <diagonal/>
    </border>
    <border>
      <left style="thick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double">
        <color auto="1"/>
      </bottom>
      <diagonal/>
    </border>
    <border>
      <left/>
      <right style="thick">
        <color auto="1"/>
      </right>
      <top style="thick">
        <color auto="1"/>
      </top>
      <bottom style="double">
        <color auto="1"/>
      </bottom>
      <diagonal/>
    </border>
    <border>
      <left style="thick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5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1" fontId="4" fillId="2" borderId="1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0" fontId="5" fillId="2" borderId="4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center"/>
    </xf>
    <xf numFmtId="1" fontId="4" fillId="2" borderId="4" xfId="0" applyNumberFormat="1" applyFont="1" applyFill="1" applyBorder="1" applyAlignment="1">
      <alignment horizontal="center"/>
    </xf>
    <xf numFmtId="0" fontId="5" fillId="2" borderId="5" xfId="0" applyFont="1" applyFill="1" applyBorder="1" applyAlignment="1">
      <alignment horizontal="left"/>
    </xf>
    <xf numFmtId="0" fontId="4" fillId="2" borderId="5" xfId="0" applyFont="1" applyFill="1" applyBorder="1" applyAlignment="1">
      <alignment horizontal="center"/>
    </xf>
    <xf numFmtId="1" fontId="4" fillId="2" borderId="5" xfId="0" applyNumberFormat="1" applyFont="1" applyFill="1" applyBorder="1" applyAlignment="1">
      <alignment horizontal="center"/>
    </xf>
    <xf numFmtId="0" fontId="5" fillId="2" borderId="6" xfId="0" applyFont="1" applyFill="1" applyBorder="1" applyAlignment="1">
      <alignment horizontal="left"/>
    </xf>
    <xf numFmtId="0" fontId="4" fillId="2" borderId="6" xfId="0" applyFont="1" applyFill="1" applyBorder="1" applyAlignment="1">
      <alignment horizontal="center"/>
    </xf>
    <xf numFmtId="1" fontId="4" fillId="2" borderId="6" xfId="0" applyNumberFormat="1" applyFont="1" applyFill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5" fillId="2" borderId="7" xfId="0" applyFont="1" applyFill="1" applyBorder="1" applyAlignment="1">
      <alignment horizontal="left"/>
    </xf>
    <xf numFmtId="0" fontId="4" fillId="2" borderId="7" xfId="0" applyFont="1" applyFill="1" applyBorder="1" applyAlignment="1">
      <alignment horizontal="center"/>
    </xf>
    <xf numFmtId="4" fontId="4" fillId="2" borderId="7" xfId="0" applyNumberFormat="1" applyFont="1" applyFill="1" applyBorder="1" applyAlignment="1">
      <alignment horizontal="center"/>
    </xf>
    <xf numFmtId="0" fontId="8" fillId="0" borderId="0" xfId="0" applyFont="1" applyAlignment="1"/>
    <xf numFmtId="0" fontId="5" fillId="2" borderId="3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left"/>
    </xf>
    <xf numFmtId="0" fontId="4" fillId="2" borderId="13" xfId="0" applyFont="1" applyFill="1" applyBorder="1" applyAlignment="1">
      <alignment horizontal="center"/>
    </xf>
    <xf numFmtId="1" fontId="4" fillId="2" borderId="13" xfId="0" applyNumberFormat="1" applyFont="1" applyFill="1" applyBorder="1" applyAlignment="1">
      <alignment horizontal="center"/>
    </xf>
    <xf numFmtId="4" fontId="4" fillId="2" borderId="13" xfId="0" applyNumberFormat="1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left"/>
    </xf>
    <xf numFmtId="0" fontId="4" fillId="2" borderId="16" xfId="0" applyFont="1" applyFill="1" applyBorder="1" applyAlignment="1">
      <alignment horizontal="center"/>
    </xf>
    <xf numFmtId="4" fontId="4" fillId="2" borderId="16" xfId="0" applyNumberFormat="1" applyFont="1" applyFill="1" applyBorder="1" applyAlignment="1">
      <alignment horizontal="center"/>
    </xf>
    <xf numFmtId="0" fontId="8" fillId="0" borderId="26" xfId="0" applyFont="1" applyBorder="1" applyAlignment="1"/>
    <xf numFmtId="165" fontId="3" fillId="0" borderId="0" xfId="0" applyNumberFormat="1" applyFont="1" applyAlignment="1">
      <alignment horizontal="center"/>
    </xf>
    <xf numFmtId="4" fontId="11" fillId="0" borderId="0" xfId="0" applyNumberFormat="1" applyFont="1"/>
    <xf numFmtId="4" fontId="0" fillId="0" borderId="0" xfId="0" applyNumberFormat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9" fontId="9" fillId="2" borderId="16" xfId="0" applyNumberFormat="1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164" fontId="3" fillId="2" borderId="5" xfId="0" applyNumberFormat="1" applyFont="1" applyFill="1" applyBorder="1" applyAlignment="1">
      <alignment horizontal="center"/>
    </xf>
    <xf numFmtId="164" fontId="3" fillId="2" borderId="14" xfId="0" applyNumberFormat="1" applyFont="1" applyFill="1" applyBorder="1" applyAlignment="1">
      <alignment horizontal="center"/>
    </xf>
    <xf numFmtId="164" fontId="4" fillId="2" borderId="14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64" fontId="3" fillId="2" borderId="3" xfId="0" applyNumberFormat="1" applyFont="1" applyFill="1" applyBorder="1" applyAlignment="1">
      <alignment horizontal="center"/>
    </xf>
    <xf numFmtId="164" fontId="3" fillId="2" borderId="22" xfId="0" applyNumberFormat="1" applyFont="1" applyFill="1" applyBorder="1" applyAlignment="1">
      <alignment horizontal="center"/>
    </xf>
    <xf numFmtId="164" fontId="3" fillId="2" borderId="16" xfId="0" applyNumberFormat="1" applyFont="1" applyFill="1" applyBorder="1" applyAlignment="1">
      <alignment horizontal="center"/>
    </xf>
    <xf numFmtId="164" fontId="3" fillId="2" borderId="25" xfId="0" applyNumberFormat="1" applyFont="1" applyFill="1" applyBorder="1" applyAlignment="1">
      <alignment horizontal="center"/>
    </xf>
    <xf numFmtId="4" fontId="3" fillId="2" borderId="26" xfId="0" applyNumberFormat="1" applyFont="1" applyFill="1" applyBorder="1" applyAlignment="1">
      <alignment horizontal="center"/>
    </xf>
    <xf numFmtId="0" fontId="8" fillId="2" borderId="0" xfId="0" applyFont="1" applyFill="1" applyBorder="1" applyAlignment="1"/>
    <xf numFmtId="164" fontId="3" fillId="2" borderId="0" xfId="0" applyNumberFormat="1" applyFont="1" applyFill="1" applyBorder="1" applyAlignment="1">
      <alignment horizontal="center"/>
    </xf>
    <xf numFmtId="164" fontId="0" fillId="0" borderId="0" xfId="0" applyNumberFormat="1"/>
    <xf numFmtId="166" fontId="0" fillId="0" borderId="0" xfId="0" applyNumberFormat="1"/>
    <xf numFmtId="4" fontId="0" fillId="0" borderId="27" xfId="0" applyNumberFormat="1" applyBorder="1" applyAlignment="1"/>
    <xf numFmtId="4" fontId="0" fillId="0" borderId="0" xfId="0" applyNumberFormat="1" applyAlignment="1"/>
    <xf numFmtId="4" fontId="0" fillId="0" borderId="0" xfId="0" applyNumberFormat="1" applyBorder="1" applyAlignment="1"/>
    <xf numFmtId="167" fontId="0" fillId="0" borderId="0" xfId="0" applyNumberFormat="1"/>
    <xf numFmtId="0" fontId="13" fillId="3" borderId="0" xfId="0" applyFont="1" applyFill="1"/>
    <xf numFmtId="164" fontId="3" fillId="3" borderId="14" xfId="0" applyNumberFormat="1" applyFont="1" applyFill="1" applyBorder="1" applyAlignment="1">
      <alignment horizontal="center"/>
    </xf>
    <xf numFmtId="164" fontId="4" fillId="3" borderId="14" xfId="0" applyNumberFormat="1" applyFont="1" applyFill="1" applyBorder="1" applyAlignment="1">
      <alignment horizontal="center"/>
    </xf>
    <xf numFmtId="164" fontId="3" fillId="3" borderId="24" xfId="0" applyNumberFormat="1" applyFont="1" applyFill="1" applyBorder="1" applyAlignment="1">
      <alignment horizontal="center"/>
    </xf>
    <xf numFmtId="164" fontId="3" fillId="4" borderId="14" xfId="0" applyNumberFormat="1" applyFont="1" applyFill="1" applyBorder="1" applyAlignment="1">
      <alignment horizontal="center"/>
    </xf>
    <xf numFmtId="164" fontId="9" fillId="3" borderId="14" xfId="0" applyNumberFormat="1" applyFont="1" applyFill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14" fontId="12" fillId="0" borderId="0" xfId="0" applyNumberFormat="1" applyFont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tabSelected="1" zoomScaleNormal="100" workbookViewId="0">
      <selection activeCell="I27" sqref="I27"/>
    </sheetView>
  </sheetViews>
  <sheetFormatPr defaultRowHeight="15" x14ac:dyDescent="0.25"/>
  <cols>
    <col min="1" max="1" width="4.28515625" customWidth="1"/>
    <col min="2" max="2" width="33.7109375" customWidth="1"/>
    <col min="3" max="3" width="7.42578125" customWidth="1"/>
    <col min="4" max="4" width="9.7109375" customWidth="1"/>
    <col min="5" max="5" width="12.85546875" customWidth="1"/>
    <col min="6" max="6" width="11.28515625" customWidth="1"/>
    <col min="7" max="7" width="16.7109375" customWidth="1"/>
    <col min="8" max="8" width="8.42578125" customWidth="1"/>
    <col min="9" max="9" width="10.85546875" customWidth="1"/>
  </cols>
  <sheetData>
    <row r="1" spans="1:13" ht="15.75" thickBot="1" x14ac:dyDescent="0.3"/>
    <row r="2" spans="1:13" ht="17.25" thickTop="1" thickBot="1" x14ac:dyDescent="0.3">
      <c r="A2" s="72" t="s">
        <v>47</v>
      </c>
      <c r="B2" s="73"/>
      <c r="C2" s="73"/>
      <c r="D2" s="73"/>
      <c r="E2" s="73"/>
      <c r="F2" s="73"/>
      <c r="G2" s="74"/>
    </row>
    <row r="3" spans="1:13" ht="9" customHeight="1" thickTop="1" thickBot="1" x14ac:dyDescent="0.35">
      <c r="A3" s="80"/>
      <c r="B3" s="80"/>
      <c r="C3" s="80"/>
      <c r="D3" s="80"/>
      <c r="E3" s="80"/>
    </row>
    <row r="4" spans="1:13" ht="15.75" thickTop="1" x14ac:dyDescent="0.25">
      <c r="A4" s="24"/>
      <c r="B4" s="81" t="s">
        <v>37</v>
      </c>
      <c r="C4" s="25" t="s">
        <v>38</v>
      </c>
      <c r="D4" s="76" t="s">
        <v>40</v>
      </c>
      <c r="E4" s="78" t="s">
        <v>45</v>
      </c>
      <c r="F4" s="45"/>
      <c r="G4" s="46">
        <v>2025</v>
      </c>
    </row>
    <row r="5" spans="1:13" ht="15.75" thickBot="1" x14ac:dyDescent="0.3">
      <c r="A5" s="33"/>
      <c r="B5" s="82"/>
      <c r="C5" s="34" t="s">
        <v>39</v>
      </c>
      <c r="D5" s="77"/>
      <c r="E5" s="79"/>
      <c r="F5" s="47"/>
      <c r="G5" s="48" t="s">
        <v>46</v>
      </c>
    </row>
    <row r="6" spans="1:13" ht="16.5" thickTop="1" thickBot="1" x14ac:dyDescent="0.3">
      <c r="A6" s="26">
        <v>1</v>
      </c>
      <c r="B6" s="10" t="s">
        <v>0</v>
      </c>
      <c r="C6" s="11">
        <v>34</v>
      </c>
      <c r="D6" s="12">
        <v>30</v>
      </c>
      <c r="E6" s="17">
        <v>2650</v>
      </c>
      <c r="F6" s="49">
        <f t="shared" ref="F6:F46" si="0">G6-E6</f>
        <v>1100</v>
      </c>
      <c r="G6" s="50">
        <v>3750</v>
      </c>
      <c r="I6" s="64"/>
      <c r="J6" s="64"/>
      <c r="K6" s="64"/>
      <c r="L6" s="64"/>
      <c r="M6" s="63"/>
    </row>
    <row r="7" spans="1:13" ht="16.5" thickTop="1" thickBot="1" x14ac:dyDescent="0.3">
      <c r="A7" s="27">
        <v>2</v>
      </c>
      <c r="B7" s="7" t="s">
        <v>1</v>
      </c>
      <c r="C7" s="8">
        <v>20</v>
      </c>
      <c r="D7" s="9">
        <v>17</v>
      </c>
      <c r="E7" s="6">
        <v>1749</v>
      </c>
      <c r="F7" s="49">
        <f t="shared" si="0"/>
        <v>551</v>
      </c>
      <c r="G7" s="50">
        <v>2300</v>
      </c>
      <c r="I7" s="44"/>
    </row>
    <row r="8" spans="1:13" ht="16.5" thickTop="1" thickBot="1" x14ac:dyDescent="0.3">
      <c r="A8" s="27">
        <v>3</v>
      </c>
      <c r="B8" s="7" t="s">
        <v>2</v>
      </c>
      <c r="C8" s="8">
        <v>35</v>
      </c>
      <c r="D8" s="9">
        <v>30</v>
      </c>
      <c r="E8" s="6">
        <v>2650</v>
      </c>
      <c r="F8" s="49">
        <f t="shared" si="0"/>
        <v>1100</v>
      </c>
      <c r="G8" s="50">
        <v>3750</v>
      </c>
      <c r="I8" s="44"/>
    </row>
    <row r="9" spans="1:13" ht="16.5" thickTop="1" thickBot="1" x14ac:dyDescent="0.3">
      <c r="A9" s="27">
        <v>4</v>
      </c>
      <c r="B9" s="7" t="s">
        <v>3</v>
      </c>
      <c r="C9" s="8">
        <v>50</v>
      </c>
      <c r="D9" s="9">
        <v>27</v>
      </c>
      <c r="E9" s="6">
        <v>3074</v>
      </c>
      <c r="F9" s="49">
        <f t="shared" si="0"/>
        <v>776</v>
      </c>
      <c r="G9" s="50">
        <v>3850</v>
      </c>
      <c r="H9" s="62" t="s">
        <v>51</v>
      </c>
      <c r="I9" s="44"/>
    </row>
    <row r="10" spans="1:13" ht="16.5" thickTop="1" thickBot="1" x14ac:dyDescent="0.3">
      <c r="A10" s="27">
        <v>5</v>
      </c>
      <c r="B10" s="7" t="s">
        <v>4</v>
      </c>
      <c r="C10" s="8">
        <v>70</v>
      </c>
      <c r="D10" s="9">
        <v>27</v>
      </c>
      <c r="E10" s="6">
        <v>3763</v>
      </c>
      <c r="F10" s="49">
        <f t="shared" si="0"/>
        <v>1337</v>
      </c>
      <c r="G10" s="50">
        <v>5100</v>
      </c>
      <c r="I10" s="44"/>
    </row>
    <row r="11" spans="1:13" ht="16.5" thickTop="1" thickBot="1" x14ac:dyDescent="0.3">
      <c r="A11" s="27">
        <v>6</v>
      </c>
      <c r="B11" s="7" t="s">
        <v>5</v>
      </c>
      <c r="C11" s="8">
        <v>74</v>
      </c>
      <c r="D11" s="9">
        <v>30</v>
      </c>
      <c r="E11" s="6">
        <v>3763</v>
      </c>
      <c r="F11" s="49">
        <f t="shared" si="0"/>
        <v>1337</v>
      </c>
      <c r="G11" s="50">
        <v>5100</v>
      </c>
      <c r="I11" s="44"/>
    </row>
    <row r="12" spans="1:13" ht="16.5" thickTop="1" thickBot="1" x14ac:dyDescent="0.3">
      <c r="A12" s="27">
        <v>7</v>
      </c>
      <c r="B12" s="7" t="s">
        <v>6</v>
      </c>
      <c r="C12" s="8">
        <v>64</v>
      </c>
      <c r="D12" s="9">
        <v>17</v>
      </c>
      <c r="E12" s="6">
        <v>2756</v>
      </c>
      <c r="F12" s="49">
        <f t="shared" si="0"/>
        <v>994</v>
      </c>
      <c r="G12" s="51">
        <v>3750</v>
      </c>
      <c r="I12" s="44"/>
    </row>
    <row r="13" spans="1:13" ht="16.5" thickTop="1" thickBot="1" x14ac:dyDescent="0.3">
      <c r="A13" s="26">
        <v>8</v>
      </c>
      <c r="B13" s="10" t="s">
        <v>7</v>
      </c>
      <c r="C13" s="11">
        <v>70</v>
      </c>
      <c r="D13" s="12">
        <v>30</v>
      </c>
      <c r="E13" s="6">
        <v>3445</v>
      </c>
      <c r="F13" s="49">
        <f t="shared" si="0"/>
        <v>1655</v>
      </c>
      <c r="G13" s="50">
        <v>5100</v>
      </c>
      <c r="I13" s="44"/>
    </row>
    <row r="14" spans="1:13" ht="16.5" thickTop="1" thickBot="1" x14ac:dyDescent="0.3">
      <c r="A14" s="27">
        <v>9</v>
      </c>
      <c r="B14" s="7" t="s">
        <v>8</v>
      </c>
      <c r="C14" s="8">
        <v>28</v>
      </c>
      <c r="D14" s="9">
        <v>17</v>
      </c>
      <c r="E14" s="6">
        <v>1749</v>
      </c>
      <c r="F14" s="49">
        <f t="shared" si="0"/>
        <v>551</v>
      </c>
      <c r="G14" s="50">
        <v>2300</v>
      </c>
      <c r="I14" s="44"/>
    </row>
    <row r="15" spans="1:13" ht="16.5" thickTop="1" thickBot="1" x14ac:dyDescent="0.3">
      <c r="A15" s="26">
        <v>10</v>
      </c>
      <c r="B15" s="7" t="s">
        <v>9</v>
      </c>
      <c r="C15" s="8">
        <v>30</v>
      </c>
      <c r="D15" s="9">
        <v>17</v>
      </c>
      <c r="E15" s="6">
        <v>1749</v>
      </c>
      <c r="F15" s="49">
        <f t="shared" si="0"/>
        <v>551</v>
      </c>
      <c r="G15" s="50">
        <v>2300</v>
      </c>
      <c r="I15" s="44"/>
    </row>
    <row r="16" spans="1:13" ht="16.5" thickTop="1" thickBot="1" x14ac:dyDescent="0.3">
      <c r="A16" s="27">
        <v>11</v>
      </c>
      <c r="B16" s="7" t="s">
        <v>10</v>
      </c>
      <c r="C16" s="8">
        <v>30</v>
      </c>
      <c r="D16" s="9">
        <v>17</v>
      </c>
      <c r="E16" s="6">
        <v>1749</v>
      </c>
      <c r="F16" s="49">
        <f t="shared" si="0"/>
        <v>551</v>
      </c>
      <c r="G16" s="50">
        <v>2300</v>
      </c>
      <c r="I16" s="44"/>
    </row>
    <row r="17" spans="1:9" ht="16.5" thickTop="1" thickBot="1" x14ac:dyDescent="0.3">
      <c r="A17" s="26">
        <v>12</v>
      </c>
      <c r="B17" s="7" t="s">
        <v>41</v>
      </c>
      <c r="C17" s="8">
        <v>35</v>
      </c>
      <c r="D17" s="8">
        <v>17</v>
      </c>
      <c r="E17" s="6">
        <v>1908</v>
      </c>
      <c r="F17" s="49">
        <f t="shared" si="0"/>
        <v>1842</v>
      </c>
      <c r="G17" s="70">
        <v>3750</v>
      </c>
      <c r="H17" t="s">
        <v>53</v>
      </c>
      <c r="I17" s="44"/>
    </row>
    <row r="18" spans="1:9" ht="16.5" thickTop="1" thickBot="1" x14ac:dyDescent="0.3">
      <c r="A18" s="27">
        <v>13</v>
      </c>
      <c r="B18" s="10" t="s">
        <v>11</v>
      </c>
      <c r="C18" s="11">
        <v>25</v>
      </c>
      <c r="D18" s="12">
        <v>17</v>
      </c>
      <c r="E18" s="6">
        <v>1749</v>
      </c>
      <c r="F18" s="49">
        <f t="shared" si="0"/>
        <v>551</v>
      </c>
      <c r="G18" s="50">
        <v>2300</v>
      </c>
      <c r="I18" s="44"/>
    </row>
    <row r="19" spans="1:9" ht="16.5" thickTop="1" thickBot="1" x14ac:dyDescent="0.3">
      <c r="A19" s="26">
        <v>14</v>
      </c>
      <c r="B19" s="7" t="s">
        <v>12</v>
      </c>
      <c r="C19" s="8">
        <v>65</v>
      </c>
      <c r="D19" s="9">
        <v>20</v>
      </c>
      <c r="E19" s="6">
        <v>2968</v>
      </c>
      <c r="F19" s="49">
        <f t="shared" si="0"/>
        <v>882</v>
      </c>
      <c r="G19" s="50">
        <v>3850</v>
      </c>
      <c r="I19" s="44"/>
    </row>
    <row r="20" spans="1:9" ht="16.5" thickTop="1" thickBot="1" x14ac:dyDescent="0.3">
      <c r="A20" s="27">
        <v>15</v>
      </c>
      <c r="B20" s="7" t="s">
        <v>13</v>
      </c>
      <c r="C20" s="8">
        <v>30</v>
      </c>
      <c r="D20" s="9">
        <v>17</v>
      </c>
      <c r="E20" s="6">
        <v>1749</v>
      </c>
      <c r="F20" s="49">
        <f t="shared" si="0"/>
        <v>551</v>
      </c>
      <c r="G20" s="50">
        <v>2300</v>
      </c>
      <c r="I20" s="44"/>
    </row>
    <row r="21" spans="1:9" ht="16.5" thickTop="1" thickBot="1" x14ac:dyDescent="0.3">
      <c r="A21" s="26">
        <v>16</v>
      </c>
      <c r="B21" s="7" t="s">
        <v>14</v>
      </c>
      <c r="C21" s="8">
        <v>48</v>
      </c>
      <c r="D21" s="9">
        <v>17</v>
      </c>
      <c r="E21" s="6">
        <v>2332</v>
      </c>
      <c r="F21" s="49">
        <f t="shared" si="0"/>
        <v>768</v>
      </c>
      <c r="G21" s="50">
        <v>3100</v>
      </c>
      <c r="I21" s="44"/>
    </row>
    <row r="22" spans="1:9" ht="16.5" thickTop="1" thickBot="1" x14ac:dyDescent="0.3">
      <c r="A22" s="27">
        <v>17</v>
      </c>
      <c r="B22" s="7" t="s">
        <v>15</v>
      </c>
      <c r="C22" s="8">
        <v>48</v>
      </c>
      <c r="D22" s="9">
        <v>17</v>
      </c>
      <c r="E22" s="6">
        <v>2332</v>
      </c>
      <c r="F22" s="49">
        <f t="shared" si="0"/>
        <v>768</v>
      </c>
      <c r="G22" s="50">
        <v>3100</v>
      </c>
      <c r="I22" s="44"/>
    </row>
    <row r="23" spans="1:9" ht="16.5" thickTop="1" thickBot="1" x14ac:dyDescent="0.3">
      <c r="A23" s="26">
        <v>18</v>
      </c>
      <c r="B23" s="7" t="s">
        <v>16</v>
      </c>
      <c r="C23" s="8">
        <v>60</v>
      </c>
      <c r="D23" s="9">
        <v>17</v>
      </c>
      <c r="E23" s="6">
        <v>2756</v>
      </c>
      <c r="F23" s="49">
        <f t="shared" si="0"/>
        <v>944</v>
      </c>
      <c r="G23" s="51">
        <v>3700</v>
      </c>
      <c r="I23" s="44"/>
    </row>
    <row r="24" spans="1:9" ht="16.5" thickTop="1" thickBot="1" x14ac:dyDescent="0.3">
      <c r="A24" s="27">
        <v>19</v>
      </c>
      <c r="B24" s="7" t="s">
        <v>17</v>
      </c>
      <c r="C24" s="8">
        <v>28</v>
      </c>
      <c r="D24" s="9">
        <v>17</v>
      </c>
      <c r="E24" s="6">
        <v>1749</v>
      </c>
      <c r="F24" s="49">
        <f t="shared" si="0"/>
        <v>2001</v>
      </c>
      <c r="G24" s="71">
        <v>3750</v>
      </c>
      <c r="H24" t="s">
        <v>53</v>
      </c>
      <c r="I24" s="44"/>
    </row>
    <row r="25" spans="1:9" ht="16.5" thickTop="1" thickBot="1" x14ac:dyDescent="0.3">
      <c r="A25" s="26">
        <v>20</v>
      </c>
      <c r="B25" s="7" t="s">
        <v>18</v>
      </c>
      <c r="C25" s="8">
        <v>24</v>
      </c>
      <c r="D25" s="9">
        <v>17</v>
      </c>
      <c r="E25" s="6">
        <v>1749</v>
      </c>
      <c r="F25" s="49">
        <f t="shared" si="0"/>
        <v>551</v>
      </c>
      <c r="G25" s="50">
        <v>2300</v>
      </c>
      <c r="I25" s="44"/>
    </row>
    <row r="26" spans="1:9" ht="16.5" thickTop="1" thickBot="1" x14ac:dyDescent="0.3">
      <c r="A26" s="27">
        <v>21</v>
      </c>
      <c r="B26" s="7" t="s">
        <v>42</v>
      </c>
      <c r="C26" s="8">
        <v>45</v>
      </c>
      <c r="D26" s="9">
        <v>27</v>
      </c>
      <c r="E26" s="6">
        <v>2809</v>
      </c>
      <c r="F26" s="49">
        <f t="shared" si="0"/>
        <v>-2809</v>
      </c>
      <c r="G26" s="67">
        <v>0</v>
      </c>
      <c r="I26" s="44"/>
    </row>
    <row r="27" spans="1:9" ht="16.5" thickTop="1" thickBot="1" x14ac:dyDescent="0.3">
      <c r="A27" s="26">
        <v>22</v>
      </c>
      <c r="B27" s="7" t="s">
        <v>19</v>
      </c>
      <c r="C27" s="8">
        <v>60</v>
      </c>
      <c r="D27" s="9">
        <v>17</v>
      </c>
      <c r="E27" s="6">
        <v>2756</v>
      </c>
      <c r="F27" s="49">
        <f t="shared" si="0"/>
        <v>894</v>
      </c>
      <c r="G27" s="51">
        <v>3650</v>
      </c>
      <c r="I27" s="44"/>
    </row>
    <row r="28" spans="1:9" ht="16.5" thickTop="1" thickBot="1" x14ac:dyDescent="0.3">
      <c r="A28" s="27">
        <v>23</v>
      </c>
      <c r="B28" s="7" t="s">
        <v>20</v>
      </c>
      <c r="C28" s="8">
        <v>24</v>
      </c>
      <c r="D28" s="9">
        <v>17</v>
      </c>
      <c r="E28" s="6">
        <v>1749</v>
      </c>
      <c r="F28" s="49">
        <f t="shared" si="0"/>
        <v>-1749</v>
      </c>
      <c r="G28" s="67">
        <v>0</v>
      </c>
      <c r="I28" s="44"/>
    </row>
    <row r="29" spans="1:9" ht="16.5" thickTop="1" thickBot="1" x14ac:dyDescent="0.3">
      <c r="A29" s="26">
        <v>24</v>
      </c>
      <c r="B29" s="7" t="s">
        <v>21</v>
      </c>
      <c r="C29" s="8">
        <v>34</v>
      </c>
      <c r="D29" s="9">
        <v>17</v>
      </c>
      <c r="E29" s="6">
        <v>1749</v>
      </c>
      <c r="F29" s="49">
        <f t="shared" si="0"/>
        <v>551</v>
      </c>
      <c r="G29" s="50">
        <v>2300</v>
      </c>
      <c r="I29" s="44"/>
    </row>
    <row r="30" spans="1:9" ht="16.5" thickTop="1" thickBot="1" x14ac:dyDescent="0.3">
      <c r="A30" s="27">
        <v>25</v>
      </c>
      <c r="B30" s="7" t="s">
        <v>22</v>
      </c>
      <c r="C30" s="8">
        <v>30</v>
      </c>
      <c r="D30" s="9">
        <v>17</v>
      </c>
      <c r="E30" s="6">
        <v>1749</v>
      </c>
      <c r="F30" s="49">
        <f t="shared" si="0"/>
        <v>551</v>
      </c>
      <c r="G30" s="50">
        <v>2300</v>
      </c>
      <c r="I30" s="44"/>
    </row>
    <row r="31" spans="1:9" ht="16.5" thickTop="1" thickBot="1" x14ac:dyDescent="0.3">
      <c r="A31" s="26">
        <v>26</v>
      </c>
      <c r="B31" s="7" t="s">
        <v>23</v>
      </c>
      <c r="C31" s="8">
        <v>60</v>
      </c>
      <c r="D31" s="9">
        <v>17</v>
      </c>
      <c r="E31" s="6">
        <v>2332</v>
      </c>
      <c r="F31" s="49">
        <f t="shared" si="0"/>
        <v>-2332</v>
      </c>
      <c r="G31" s="68">
        <v>0</v>
      </c>
      <c r="I31" s="44"/>
    </row>
    <row r="32" spans="1:9" ht="16.5" thickTop="1" thickBot="1" x14ac:dyDescent="0.3">
      <c r="A32" s="27">
        <v>27</v>
      </c>
      <c r="B32" s="7" t="s">
        <v>24</v>
      </c>
      <c r="C32" s="8">
        <v>28</v>
      </c>
      <c r="D32" s="9">
        <v>17</v>
      </c>
      <c r="E32" s="6">
        <v>1749</v>
      </c>
      <c r="F32" s="49">
        <f t="shared" si="0"/>
        <v>-1749</v>
      </c>
      <c r="G32" s="67">
        <v>0</v>
      </c>
      <c r="I32" s="44"/>
    </row>
    <row r="33" spans="1:9" ht="16.5" thickTop="1" thickBot="1" x14ac:dyDescent="0.3">
      <c r="A33" s="26">
        <v>28</v>
      </c>
      <c r="B33" s="7" t="s">
        <v>25</v>
      </c>
      <c r="C33" s="8">
        <v>70</v>
      </c>
      <c r="D33" s="9">
        <v>17</v>
      </c>
      <c r="E33" s="6">
        <v>3074</v>
      </c>
      <c r="F33" s="49">
        <f t="shared" si="0"/>
        <v>826</v>
      </c>
      <c r="G33" s="51">
        <v>3900</v>
      </c>
      <c r="I33" s="44"/>
    </row>
    <row r="34" spans="1:9" ht="16.5" thickTop="1" thickBot="1" x14ac:dyDescent="0.3">
      <c r="A34" s="26">
        <v>29</v>
      </c>
      <c r="B34" s="13" t="s">
        <v>26</v>
      </c>
      <c r="C34" s="14">
        <v>28</v>
      </c>
      <c r="D34" s="15">
        <v>17</v>
      </c>
      <c r="E34" s="6">
        <v>1749</v>
      </c>
      <c r="F34" s="49">
        <f t="shared" si="0"/>
        <v>551</v>
      </c>
      <c r="G34" s="50">
        <v>2300</v>
      </c>
      <c r="I34" s="44"/>
    </row>
    <row r="35" spans="1:9" ht="16.5" thickTop="1" thickBot="1" x14ac:dyDescent="0.3">
      <c r="A35" s="27">
        <v>30</v>
      </c>
      <c r="B35" s="13" t="s">
        <v>27</v>
      </c>
      <c r="C35" s="14">
        <v>36</v>
      </c>
      <c r="D35" s="15">
        <v>17</v>
      </c>
      <c r="E35" s="6">
        <v>1749</v>
      </c>
      <c r="F35" s="49">
        <f t="shared" si="0"/>
        <v>551</v>
      </c>
      <c r="G35" s="50">
        <v>2300</v>
      </c>
      <c r="I35" s="44"/>
    </row>
    <row r="36" spans="1:9" ht="16.5" thickTop="1" thickBot="1" x14ac:dyDescent="0.3">
      <c r="A36" s="26">
        <v>31</v>
      </c>
      <c r="B36" s="13" t="s">
        <v>43</v>
      </c>
      <c r="C36" s="14">
        <v>30</v>
      </c>
      <c r="D36" s="15">
        <v>17</v>
      </c>
      <c r="E36" s="6">
        <v>1749</v>
      </c>
      <c r="F36" s="49">
        <f t="shared" si="0"/>
        <v>551</v>
      </c>
      <c r="G36" s="50">
        <v>2300</v>
      </c>
      <c r="I36" s="44"/>
    </row>
    <row r="37" spans="1:9" ht="16.5" thickTop="1" thickBot="1" x14ac:dyDescent="0.3">
      <c r="A37" s="27">
        <v>32</v>
      </c>
      <c r="B37" s="7" t="s">
        <v>28</v>
      </c>
      <c r="C37" s="8">
        <v>60</v>
      </c>
      <c r="D37" s="9">
        <v>17</v>
      </c>
      <c r="E37" s="6">
        <v>2756</v>
      </c>
      <c r="F37" s="49">
        <f t="shared" si="0"/>
        <v>894</v>
      </c>
      <c r="G37" s="51">
        <v>3650</v>
      </c>
      <c r="I37" s="44"/>
    </row>
    <row r="38" spans="1:9" ht="16.5" thickTop="1" thickBot="1" x14ac:dyDescent="0.3">
      <c r="A38" s="26">
        <v>33</v>
      </c>
      <c r="B38" s="7" t="s">
        <v>48</v>
      </c>
      <c r="C38" s="8">
        <v>60</v>
      </c>
      <c r="D38" s="9">
        <v>17</v>
      </c>
      <c r="E38" s="6">
        <v>2332</v>
      </c>
      <c r="F38" s="49">
        <f t="shared" si="0"/>
        <v>1318</v>
      </c>
      <c r="G38" s="51">
        <v>3650</v>
      </c>
      <c r="I38" s="44"/>
    </row>
    <row r="39" spans="1:9" ht="16.5" thickTop="1" thickBot="1" x14ac:dyDescent="0.3">
      <c r="A39" s="27">
        <v>34</v>
      </c>
      <c r="B39" s="7" t="s">
        <v>29</v>
      </c>
      <c r="C39" s="8">
        <v>30</v>
      </c>
      <c r="D39" s="9">
        <v>17</v>
      </c>
      <c r="E39" s="6">
        <v>1749</v>
      </c>
      <c r="F39" s="49">
        <f t="shared" si="0"/>
        <v>551</v>
      </c>
      <c r="G39" s="51">
        <v>2300</v>
      </c>
      <c r="I39" s="44"/>
    </row>
    <row r="40" spans="1:9" ht="16.5" thickTop="1" thickBot="1" x14ac:dyDescent="0.3">
      <c r="A40" s="26">
        <v>35</v>
      </c>
      <c r="B40" s="7" t="s">
        <v>30</v>
      </c>
      <c r="C40" s="8">
        <v>80</v>
      </c>
      <c r="D40" s="9">
        <v>17</v>
      </c>
      <c r="E40" s="6">
        <v>2756</v>
      </c>
      <c r="F40" s="49">
        <f t="shared" si="0"/>
        <v>1144</v>
      </c>
      <c r="G40" s="50">
        <v>3900</v>
      </c>
      <c r="I40" s="44"/>
    </row>
    <row r="41" spans="1:9" ht="16.5" thickTop="1" thickBot="1" x14ac:dyDescent="0.3">
      <c r="A41" s="27">
        <v>36</v>
      </c>
      <c r="B41" s="3" t="s">
        <v>31</v>
      </c>
      <c r="C41" s="4">
        <v>32</v>
      </c>
      <c r="D41" s="5">
        <v>17</v>
      </c>
      <c r="E41" s="6">
        <v>1749</v>
      </c>
      <c r="F41" s="49">
        <f t="shared" si="0"/>
        <v>551</v>
      </c>
      <c r="G41" s="50">
        <v>2300</v>
      </c>
      <c r="I41" s="44"/>
    </row>
    <row r="42" spans="1:9" ht="16.5" thickTop="1" thickBot="1" x14ac:dyDescent="0.3">
      <c r="A42" s="26">
        <v>37</v>
      </c>
      <c r="B42" s="13" t="s">
        <v>32</v>
      </c>
      <c r="C42" s="14">
        <v>70</v>
      </c>
      <c r="D42" s="15">
        <v>17</v>
      </c>
      <c r="E42" s="16">
        <v>3074</v>
      </c>
      <c r="F42" s="49">
        <f t="shared" si="0"/>
        <v>826</v>
      </c>
      <c r="G42" s="51">
        <v>3900</v>
      </c>
      <c r="I42" s="44"/>
    </row>
    <row r="43" spans="1:9" ht="16.5" thickTop="1" thickBot="1" x14ac:dyDescent="0.3">
      <c r="A43" s="28">
        <v>38</v>
      </c>
      <c r="B43" s="29" t="s">
        <v>44</v>
      </c>
      <c r="C43" s="30">
        <v>30</v>
      </c>
      <c r="D43" s="31">
        <v>17</v>
      </c>
      <c r="E43" s="32">
        <v>1749</v>
      </c>
      <c r="F43" s="52">
        <f t="shared" si="0"/>
        <v>-1749</v>
      </c>
      <c r="G43" s="69">
        <v>0</v>
      </c>
      <c r="I43" s="44"/>
    </row>
    <row r="44" spans="1:9" ht="16.5" thickTop="1" thickBot="1" x14ac:dyDescent="0.3">
      <c r="A44" s="35">
        <v>1</v>
      </c>
      <c r="B44" s="22" t="s">
        <v>33</v>
      </c>
      <c r="C44" s="23">
        <v>40</v>
      </c>
      <c r="D44" s="23" t="s">
        <v>34</v>
      </c>
      <c r="E44" s="6">
        <v>1802</v>
      </c>
      <c r="F44" s="53">
        <f t="shared" si="0"/>
        <v>498</v>
      </c>
      <c r="G44" s="54">
        <v>2300</v>
      </c>
      <c r="I44" s="44"/>
    </row>
    <row r="45" spans="1:9" ht="16.5" thickTop="1" thickBot="1" x14ac:dyDescent="0.3">
      <c r="A45" s="36">
        <v>2</v>
      </c>
      <c r="B45" s="18" t="s">
        <v>35</v>
      </c>
      <c r="C45" s="19">
        <v>55</v>
      </c>
      <c r="D45" s="19" t="s">
        <v>34</v>
      </c>
      <c r="E45" s="20">
        <v>2014</v>
      </c>
      <c r="F45" s="49">
        <f t="shared" si="0"/>
        <v>386</v>
      </c>
      <c r="G45" s="50">
        <v>2400</v>
      </c>
      <c r="I45" s="44"/>
    </row>
    <row r="46" spans="1:9" ht="15.75" thickBot="1" x14ac:dyDescent="0.3">
      <c r="A46" s="37">
        <v>3</v>
      </c>
      <c r="B46" s="38" t="s">
        <v>36</v>
      </c>
      <c r="C46" s="39">
        <v>75</v>
      </c>
      <c r="D46" s="39" t="s">
        <v>34</v>
      </c>
      <c r="E46" s="40">
        <v>2438</v>
      </c>
      <c r="F46" s="55">
        <f t="shared" si="0"/>
        <v>962</v>
      </c>
      <c r="G46" s="56">
        <v>3400</v>
      </c>
      <c r="I46" s="44"/>
    </row>
    <row r="47" spans="1:9" ht="15.75" thickTop="1" x14ac:dyDescent="0.25">
      <c r="A47" s="41"/>
      <c r="B47" s="41"/>
      <c r="C47" s="41"/>
      <c r="D47" s="41"/>
      <c r="E47" s="57">
        <f>SUM(E6:E46)</f>
        <v>94022</v>
      </c>
      <c r="F47" s="58"/>
      <c r="G47" s="59">
        <f>SUM(G6:G46)</f>
        <v>114600</v>
      </c>
      <c r="I47" s="43"/>
    </row>
    <row r="48" spans="1:9" x14ac:dyDescent="0.25">
      <c r="A48" s="21"/>
      <c r="B48" s="21"/>
      <c r="C48" s="21"/>
      <c r="D48" s="21"/>
      <c r="E48" s="21"/>
      <c r="F48" s="21"/>
      <c r="G48" s="42"/>
      <c r="H48" s="21"/>
    </row>
    <row r="49" spans="2:8" x14ac:dyDescent="0.25">
      <c r="E49" s="1"/>
      <c r="F49" s="75">
        <v>45706</v>
      </c>
      <c r="G49" s="75"/>
    </row>
    <row r="50" spans="2:8" x14ac:dyDescent="0.25">
      <c r="B50" s="66" t="s">
        <v>52</v>
      </c>
      <c r="E50" s="2"/>
      <c r="F50" s="75" t="s">
        <v>49</v>
      </c>
      <c r="G50" s="75"/>
    </row>
    <row r="51" spans="2:8" x14ac:dyDescent="0.25">
      <c r="F51" s="75" t="s">
        <v>50</v>
      </c>
      <c r="G51" s="75"/>
    </row>
    <row r="52" spans="2:8" x14ac:dyDescent="0.25">
      <c r="E52" s="65">
        <f>G47/E47</f>
        <v>1.2188636702048457</v>
      </c>
      <c r="H52" s="61"/>
    </row>
    <row r="53" spans="2:8" x14ac:dyDescent="0.25">
      <c r="G53" s="65"/>
    </row>
    <row r="54" spans="2:8" x14ac:dyDescent="0.25">
      <c r="H54" s="60"/>
    </row>
  </sheetData>
  <mergeCells count="8">
    <mergeCell ref="A2:G2"/>
    <mergeCell ref="F49:G49"/>
    <mergeCell ref="F50:G50"/>
    <mergeCell ref="F51:G51"/>
    <mergeCell ref="D4:D5"/>
    <mergeCell ref="E4:E5"/>
    <mergeCell ref="A3:E3"/>
    <mergeCell ref="B4:B5"/>
  </mergeCells>
  <printOptions horizontalCentered="1"/>
  <pageMargins left="0.19685039370078741" right="0" top="0" bottom="0" header="0" footer="0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2026-01-08T13:39:44Z</dcterms:modified>
</cp:coreProperties>
</file>